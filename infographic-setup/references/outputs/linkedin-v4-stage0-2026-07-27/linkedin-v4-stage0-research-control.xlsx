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f3d81f4bcf485d" /></Relationships>
</file>

<file path=xl/workbook.xml><?xml version="1.0" encoding="utf-8"?>
<x:workbook xmlns:x="http://schemas.openxmlformats.org/spreadsheetml/2006/main">
  <x:sheets>
    <x:sheet xmlns:r="http://schemas.openxmlformats.org/officeDocument/2006/relationships" name="Control" sheetId="1" r:id="R4f764881c7bf45dc"/>
    <x:sheet xmlns:r="http://schemas.openxmlformats.org/officeDocument/2006/relationships" name="Tiger Baseline" sheetId="2" r:id="R480ae6a474ce47bc"/>
    <x:sheet xmlns:r="http://schemas.openxmlformats.org/officeDocument/2006/relationships" name="Tiger Daily" sheetId="3" r:id="Rc5f9074f9d57452b"/>
    <x:sheet xmlns:r="http://schemas.openxmlformats.org/officeDocument/2006/relationships" name="Tiger Audience" sheetId="4" r:id="R7cff8aea3fc44cd5"/>
    <x:sheet xmlns:r="http://schemas.openxmlformats.org/officeDocument/2006/relationships" name="Top100 Identity" sheetId="5" r:id="R8069fcf1296d4ba2"/>
    <x:sheet xmlns:r="http://schemas.openxmlformats.org/officeDocument/2006/relationships" name="Peer Roster" sheetId="6" r:id="Rf2be0705aa264d76"/>
    <x:sheet xmlns:r="http://schemas.openxmlformats.org/officeDocument/2006/relationships" name="Creator Union" sheetId="7" r:id="R0ef8e3d4e28140bb"/>
    <x:sheet xmlns:r="http://schemas.openxmlformats.org/officeDocument/2006/relationships" name="Canary Plan" sheetId="8" r:id="R5543cbad384f4ad9"/>
    <x:sheet xmlns:r="http://schemas.openxmlformats.org/officeDocument/2006/relationships" name="Scout Queue" sheetId="9" r:id="R9f2b5a32051540e0"/>
    <x:sheet xmlns:r="http://schemas.openxmlformats.org/officeDocument/2006/relationships" name="Codebook Fields" sheetId="10" r:id="R0624810795bc4841"/>
    <x:sheet xmlns:r="http://schemas.openxmlformats.org/officeDocument/2006/relationships" name="Run Ledger" sheetId="11" r:id="Refe330fd47c44022"/>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
    <x:numFmt numFmtId="201" formatCode="$0.00000"/>
    <x:numFmt numFmtId="202" formatCode="$0.00"/>
    <x:numFmt numFmtId="203" formatCode="0"/>
    <x:numFmt numFmtId="204" formatCode="#,##0"/>
    <x:numFmt numFmtId="205" formatCode="yyyy-mm-dd"/>
    <x:numFmt numFmtId="206" formatCode="0.00%"/>
  </x:numFmts>
  <x:fonts count="13">
    <x:font>
      <x:sz val="11"/>
      <x:name val="Carlito"/>
    </x:font>
    <x:font>
      <x:b/>
      <x:sz val="18"/>
      <x:color rgb="FFFFFFFF"/>
      <x:name val="Carlito"/>
    </x:font>
    <x:font>
      <x:sz val="11"/>
      <x:color rgb="FF172033"/>
      <x:name val="Carlito"/>
    </x:font>
    <x:font>
      <x:b/>
      <x:sz val="11"/>
      <x:color rgb="FFFFFFFF"/>
      <x:name val="Carlito"/>
    </x:font>
    <x:font>
      <x:b/>
      <x:sz val="18"/>
      <x:color rgb="FFFFFFFF"/>
      <x:name val="Aptos"/>
    </x:font>
    <x:font>
      <x:sz val="11"/>
      <x:name val="Aptos"/>
    </x:font>
    <x:font>
      <x:sz val="11"/>
      <x:color rgb="FF172033"/>
      <x:name val="Aptos"/>
    </x:font>
    <x:font>
      <x:b/>
      <x:sz val="11"/>
      <x:color rgb="FFFFFFFF"/>
      <x:name val="Aptos"/>
    </x:font>
    <x:font>
      <x:b/>
      <x:sz val="18"/>
      <x:color rgb="FF172033"/>
      <x:name val="Aptos"/>
    </x:font>
    <x:font>
      <x:b/>
      <x:sz val="11"/>
      <x:color rgb="FF172033"/>
      <x:name val="Aptos"/>
    </x:font>
    <x:font>
      <x:b/>
      <x:sz val="15"/>
      <x:color rgb="FFFFFFFF"/>
      <x:name val="Carlito"/>
    </x:font>
    <x:font>
      <x:b/>
      <x:sz val="11"/>
      <x:color rgb="FF9B1C1C"/>
      <x:name val="Carlito"/>
    </x:font>
    <x:font>
      <x:b/>
      <x:sz val="11"/>
      <x:color rgb="FF176B35"/>
      <x:name val="Carlito"/>
    </x:font>
  </x:fonts>
  <x:fills count="8">
    <x:fill>
      <x:patternFill patternType="none"/>
    </x:fill>
    <x:fill>
      <x:patternFill patternType="gray125"/>
    </x:fill>
    <x:fill>
      <x:patternFill patternType="solid">
        <x:fgColor rgb="FF13233F"/>
      </x:patternFill>
    </x:fill>
    <x:fill>
      <x:patternFill patternType="solid">
        <x:fgColor rgb="FFEAF0FF"/>
      </x:patternFill>
    </x:fill>
    <x:fill>
      <x:patternFill patternType="solid">
        <x:fgColor rgb="FF1746D1"/>
      </x:patternFill>
    </x:fill>
    <x:fill>
      <x:patternFill patternType="solid">
        <x:fgColor rgb="FFFFF4D6"/>
      </x:patternFill>
    </x:fill>
    <x:fill>
      <x:patternFill patternType="solid">
        <x:fgColor rgb="FFFDECEC"/>
      </x:patternFill>
    </x:fill>
    <x:fill>
      <x:patternFill patternType="solid">
        <x:fgColor rgb="FFEAF7EE"/>
      </x:patternFill>
    </x:fill>
  </x:fills>
  <x:borders count="7">
    <x:border/>
    <x:border>
      <x:right style="thin">
        <x:color rgb="FFD8DEE9"/>
      </x:right>
      <x:bottom style="thin">
        <x:color rgb="FFD8DEE9"/>
      </x:bottom>
    </x:border>
    <x:border>
      <x:left style="thin">
        <x:color rgb="FFD8DEE9"/>
      </x:left>
      <x:bottom style="thin">
        <x:color rgb="FFD8DEE9"/>
      </x:bottom>
    </x:border>
    <x:border>
      <x:right style="thin">
        <x:color rgb="FFD8DEE9"/>
      </x:right>
      <x:top style="thin">
        <x:color rgb="FFD8DEE9"/>
      </x:top>
      <x:bottom style="thin">
        <x:color rgb="FFD8DEE9"/>
      </x:bottom>
    </x:border>
    <x:border>
      <x:left style="thin">
        <x:color rgb="FFD8DEE9"/>
      </x:left>
      <x:top style="thin">
        <x:color rgb="FFD8DEE9"/>
      </x:top>
      <x:bottom style="thin">
        <x:color rgb="FFD8DEE9"/>
      </x:bottom>
    </x:border>
    <x:border>
      <x:right style="thin">
        <x:color rgb="FFD8DEE9"/>
      </x:right>
      <x:top style="thin">
        <x:color rgb="FFD8DEE9"/>
      </x:top>
    </x:border>
    <x:border>
      <x:left style="thin">
        <x:color rgb="FFD8DEE9"/>
      </x:left>
      <x:top style="thin">
        <x:color rgb="FFD8DEE9"/>
      </x:top>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2" borderId="0" xfId="0" applyNumberFormat="1" applyFont="1" applyFill="1" applyBorder="1" applyAlignment="1">
      <x:alignment vertical="center"/>
    </x:xf>
    <x:xf numFmtId="0" fontId="5" fillId="0" borderId="0" xfId="0" applyNumberFormat="1" applyFont="1" applyFill="1" applyBorder="1"/>
    <x:xf numFmtId="0" fontId="6" fillId="3" borderId="0" xfId="0" applyNumberFormat="1" applyFont="1" applyFill="1" applyBorder="1" applyAlignment="1">
      <x:alignment vertical="center" wrapText="1"/>
    </x:xf>
    <x:xf numFmtId="0" fontId="7" fillId="4" borderId="0" xfId="0" applyNumberFormat="1" applyFont="1" applyFill="1" applyBorder="1" applyAlignment="1">
      <x:alignment wrapText="1"/>
    </x:xf>
    <x:xf numFmtId="0" fontId="5" fillId="0" borderId="1" xfId="0" applyNumberFormat="1" applyFont="1" applyFill="1" applyBorder="1"/>
    <x:xf numFmtId="0" fontId="5" fillId="0" borderId="2" xfId="0" applyNumberFormat="1" applyFont="1" applyFill="1" applyBorder="1"/>
    <x:xf numFmtId="0" fontId="5" fillId="0" borderId="0" xfId="0" applyNumberFormat="1" applyFont="1" applyFill="1" applyBorder="1" applyAlignment="1">
      <x:alignment vertical="top" wrapText="1"/>
    </x:xf>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200" fontId="5" fillId="0" borderId="0" xfId="0" applyNumberFormat="1" applyFont="1" applyFill="1" applyBorder="1"/>
    <x:xf numFmtId="201" fontId="5" fillId="0" borderId="0" xfId="0" applyNumberFormat="1" applyFont="1" applyFill="1" applyBorder="1"/>
    <x:xf numFmtId="202" fontId="5" fillId="0" borderId="0" xfId="0" applyNumberFormat="1" applyFont="1" applyFill="1" applyBorder="1"/>
    <x:xf numFmtId="203" fontId="5" fillId="0" borderId="0" xfId="0" applyNumberFormat="1" applyFont="1" applyFill="1" applyBorder="1"/>
    <x:xf numFmtId="0" fontId="8" fillId="2" borderId="0" xfId="0" applyNumberFormat="1" applyFont="1" applyFill="1" applyBorder="1" applyAlignment="1">
      <x:alignment vertical="center"/>
    </x:xf>
    <x:xf numFmtId="0" fontId="6" fillId="0" borderId="0" xfId="0" applyNumberFormat="1" applyFont="1" applyFill="1" applyBorder="1"/>
    <x:xf numFmtId="0" fontId="9" fillId="4" borderId="0" xfId="0" applyNumberFormat="1" applyFont="1" applyFill="1" applyBorder="1" applyAlignment="1">
      <x:alignment wrapText="1"/>
    </x:xf>
    <x:xf numFmtId="0" fontId="6" fillId="0" borderId="1" xfId="0" applyNumberFormat="1" applyFont="1" applyFill="1" applyBorder="1"/>
    <x:xf numFmtId="0" fontId="6" fillId="0" borderId="2" xfId="0" applyNumberFormat="1" applyFont="1" applyFill="1" applyBorder="1"/>
    <x:xf numFmtId="0" fontId="6" fillId="0" borderId="0" xfId="0" applyNumberFormat="1" applyFont="1" applyFill="1" applyBorder="1" applyAlignment="1">
      <x:alignment vertical="top" wrapText="1"/>
    </x:xf>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200" fontId="6" fillId="0" borderId="0" xfId="0" applyNumberFormat="1" applyFont="1" applyFill="1" applyBorder="1"/>
    <x:xf numFmtId="201" fontId="6" fillId="0" borderId="0" xfId="0" applyNumberFormat="1" applyFont="1" applyFill="1" applyBorder="1"/>
    <x:xf numFmtId="202" fontId="6" fillId="0" borderId="0" xfId="0" applyNumberFormat="1" applyFont="1" applyFill="1" applyBorder="1"/>
    <x:xf numFmtId="203" fontId="6" fillId="0" borderId="0" xfId="0" applyNumberFormat="1" applyFont="1" applyFill="1" applyBorder="1"/>
    <x:xf numFmtId="204" fontId="0" fillId="0" borderId="0" xfId="0" applyNumberFormat="1" applyFont="1" applyFill="1" applyBorder="1"/>
    <x:xf numFmtId="0" fontId="2" fillId="3"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205" fontId="0" fillId="0" borderId="0" xfId="0" applyNumberFormat="1" applyFont="1" applyFill="1" applyBorder="1"/>
    <x:xf numFmtId="0" fontId="0" fillId="0" borderId="0" xfId="0" applyNumberFormat="1" applyFont="1" applyFill="1" applyBorder="1" applyAlignment="1">
      <x:alignment vertical="top"/>
    </x:xf>
    <x:xf numFmtId="205" fontId="0" fillId="0" borderId="0" xfId="0" applyNumberFormat="1" applyFont="1" applyFill="1" applyBorder="1" applyAlignment="1">
      <x:alignment vertical="top"/>
    </x:xf>
    <x:xf numFmtId="204"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6" fontId="0"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203" fontId="0" fillId="0" borderId="0" xfId="0" applyNumberFormat="1" applyFont="1" applyFill="1" applyBorder="1" applyAlignment="1">
      <x:alignment vertical="top"/>
    </x:xf>
    <x:xf numFmtId="0" fontId="0" fillId="0" borderId="0" xfId="0" applyNumberFormat="1" applyFont="1" applyFill="1" applyBorder="1" applyAlignment="1">
      <x:alignment vertical="top" wrapText="0"/>
    </x:xf>
    <x:xf numFmtId="0" fontId="10" fillId="2" borderId="0" xfId="0" applyNumberFormat="1" applyFont="1" applyFill="1" applyBorder="1"/>
    <x:xf numFmtId="0" fontId="10" fillId="2" borderId="0" xfId="0" applyNumberFormat="1" applyFont="1" applyFill="1" applyBorder="1" applyAlignment="1">
      <x:alignment vertical="center"/>
    </x:xf>
    <x:xf numFmtId="0" fontId="0" fillId="6" borderId="0" xfId="0" applyNumberFormat="1" applyFont="1" applyFill="1" applyBorder="1"/>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0" xfId="0" applyNumberFormat="1" applyFont="1" applyFill="1" applyBorder="1" applyAlignment="1">
      <x:alignment vertical="center" wrapText="1"/>
    </x:xf>
    <x:xf numFmtId="201" fontId="0" fillId="0"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cellXfs>
  <x:cellStyles count="1">
    <x:cellStyle name="Normal" xfId="0"/>
  </x:cellStyles>
  <x:dxfs count="8">
    <x:dxf>
      <x:font>
        <x:b/>
        <x:color rgb="FF176B35"/>
      </x:font>
      <x:fill>
        <x:patternFill patternType="solid">
          <x:bgColor rgb="FFEAF7EE"/>
        </x:patternFill>
      </x:fill>
    </x:dxf>
    <x:dxf>
      <x:font>
        <x:b/>
        <x:color rgb="FF9B1C1C"/>
      </x:font>
      <x:fill>
        <x:patternFill patternType="solid">
          <x:bgColor rgb="FFFDECEC"/>
        </x:patternFill>
      </x:fill>
    </x:dxf>
    <x:dxf>
      <x:font>
        <x:b/>
        <x:color rgb="FF8A5A00"/>
      </x:font>
      <x:fill>
        <x:patternFill patternType="solid">
          <x:bgColor rgb="FFFFF4D6"/>
        </x:patternFill>
      </x:fill>
    </x:dxf>
    <x:dxf>
      <x:font>
        <x:color rgb="FF176B35"/>
      </x:font>
      <x:fill>
        <x:patternFill patternType="solid">
          <x:bgColor rgb="FFEAF7EE"/>
        </x:patternFill>
      </x:fill>
    </x:dxf>
    <x:dxf>
      <x:font>
        <x:color rgb="FF8A5A00"/>
      </x:font>
      <x:fill>
        <x:patternFill patternType="solid">
          <x:bgColor rgb="FFFFF4D6"/>
        </x:patternFill>
      </x:fill>
    </x:dxf>
    <x:dxf>
      <x:font>
        <x:color rgb="FF176B35"/>
      </x:font>
      <x:fill>
        <x:patternFill patternType="solid">
          <x:bgColor rgb="FFEAF7EE"/>
        </x:patternFill>
      </x:fill>
    </x:dxf>
    <x:dxf>
      <x:font>
        <x:color rgb="FF9B1C1C"/>
      </x:font>
      <x:fill>
        <x:patternFill patternType="solid">
          <x:bgColor rgb="FFFDECEC"/>
        </x:patternFill>
      </x:fill>
    </x:dxf>
    <x:dxf>
      <x:font>
        <x:b/>
        <x:color rgb="FF8A5A00"/>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9bd5b6fc804ffc" /><Relationship Type="http://schemas.openxmlformats.org/officeDocument/2006/relationships/theme" Target="/xl/theme/theme1.xml" Id="R6e8e6795087848c7" /><Relationship Type="http://schemas.microsoft.com/office/2022/11/relationships/FeaturePropertyBag" Target="/xl/featurePropertyBag/featurePropertyBag.xml" Id="R9022d8092b6b4b5a" /><Relationship Type="http://schemas.openxmlformats.org/officeDocument/2006/relationships/sharedStrings" Target="/xl/sharedStrings.xml" Id="R3c02ecfd700448d0" /><Relationship Type="http://schemas.openxmlformats.org/officeDocument/2006/relationships/worksheet" Target="/xl/worksheets/sheet1.xml" Id="R4f764881c7bf45dc" /><Relationship Type="http://schemas.openxmlformats.org/officeDocument/2006/relationships/worksheet" Target="/xl/worksheets/sheet2.xml" Id="R480ae6a474ce47bc" /><Relationship Type="http://schemas.openxmlformats.org/officeDocument/2006/relationships/worksheet" Target="/xl/worksheets/sheet3.xml" Id="Rc5f9074f9d57452b" /><Relationship Type="http://schemas.openxmlformats.org/officeDocument/2006/relationships/worksheet" Target="/xl/worksheets/sheet4.xml" Id="R7cff8aea3fc44cd5" /><Relationship Type="http://schemas.openxmlformats.org/officeDocument/2006/relationships/worksheet" Target="/xl/worksheets/sheet5.xml" Id="R8069fcf1296d4ba2" /><Relationship Type="http://schemas.openxmlformats.org/officeDocument/2006/relationships/worksheet" Target="/xl/worksheets/sheet6.xml" Id="Rf2be0705aa264d76" /><Relationship Type="http://schemas.openxmlformats.org/officeDocument/2006/relationships/worksheet" Target="/xl/worksheets/sheet7.xml" Id="R0ef8e3d4e28140bb" /><Relationship Type="http://schemas.openxmlformats.org/officeDocument/2006/relationships/worksheet" Target="/xl/worksheets/sheet8.xml" Id="R5543cbad384f4ad9" /><Relationship Type="http://schemas.openxmlformats.org/officeDocument/2006/relationships/worksheet" Target="/xl/worksheets/sheet9.xml" Id="R9f2b5a32051540e0" /><Relationship Type="http://schemas.openxmlformats.org/officeDocument/2006/relationships/worksheet" Target="/xl/worksheets/sheet10.xml" Id="R0624810795bc4841" /><Relationship Type="http://schemas.openxmlformats.org/officeDocument/2006/relationships/worksheet" Target="/xl/worksheets/sheet11.xml" Id="Refe330fd47c4402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igerBaselinePostsTable" displayName="TigerBaselinePostsTable" ref="A13:J63" headerRowCount="1" totalsRowCount="0" totalsRowShown="0">
  <x:tableColumns count="10">
    <x:tableColumn id="1" name="post_url"/>
    <x:tableColumn id="2" name="publish_date"/>
    <x:tableColumn id="3" name="engagements"/>
    <x:tableColumn id="4" name="impressions"/>
    <x:tableColumn id="5" name="engagement_top50"/>
    <x:tableColumn id="6" name="impression_top50"/>
    <x:tableColumn id="7" name="both_rankings"/>
    <x:tableColumn id="8" name="mature_by_2026_07_13"/>
    <x:tableColumn id="9" name="private_outcome_status"/>
    <x:tableColumn id="10" name="note"/>
  </x:tableColumns>
  <x:tableStyleInfo name="TableStyleMedium2" showFirstColumn="0" showLastColumn="0" showRowStripes="1" showColumnStripes="0"/>
</x:table>
</file>

<file path=xl/tables/table2.xml><?xml version="1.0" encoding="utf-8"?>
<x:table xmlns:x="http://schemas.openxmlformats.org/spreadsheetml/2006/main" id="2" name="TigerDailyTable" displayName="TigerDailyTable" ref="A3:E166" headerRowCount="1" totalsRowCount="0" totalsRowShown="0">
  <x:tableColumns count="5">
    <x:tableColumn id="1" name="date"/>
    <x:tableColumn id="2" name="impressions"/>
    <x:tableColumn id="3" name="engagements"/>
    <x:tableColumn id="4" name="new_followers"/>
    <x:tableColumn id="5" name="daily_engagement_rate"/>
  </x:tableColumns>
  <x:tableStyleInfo name="TableStyleMedium2" showFirstColumn="0" showLastColumn="0" showRowStripes="1" showColumnStripes="0"/>
</x:table>
</file>

<file path=xl/tables/table3.xml><?xml version="1.0" encoding="utf-8"?>
<x:table xmlns:x="http://schemas.openxmlformats.org/spreadsheetml/2006/main" id="3" name="TigerAudienceTable" displayName="TigerAudienceTable" ref="A5:C58" headerRowCount="1" totalsRowCount="0" totalsRowShown="0">
  <x:tableColumns count="3">
    <x:tableColumn id="1" name="dimension"/>
    <x:tableColumn id="2" name="value"/>
    <x:tableColumn id="3" name="exported_share"/>
  </x:tableColumns>
  <x:tableStyleInfo name="TableStyleMedium2" showFirstColumn="0" showLastColumn="0" showRowStripes="1" showColumnStripes="0"/>
</x:table>
</file>

<file path=xl/tables/table4.xml><?xml version="1.0" encoding="utf-8"?>
<x:table xmlns:x="http://schemas.openxmlformats.org/spreadsheetml/2006/main" id="4" name="Top100IdentityTable" displayName="Top100IdentityTable" ref="A1:Y101" headerRowCount="1" totalsRowCount="0" totalsRowShown="0">
  <x:tableColumns count="25">
    <x:tableColumn id="1" name="reference_id"/>
    <x:tableColumn id="2" name="source_workbook_row"/>
    <x:tableColumn id="3" name="caption_full"/>
    <x:tableColumn id="4" name="caption_sha256"/>
    <x:tableColumn id="5" name="local_asset_name"/>
    <x:tableColumn id="6" name="local_asset_path"/>
    <x:tableColumn id="7" name="asset_sha256"/>
    <x:tableColumn id="8" name="asset_present"/>
    <x:tableColumn id="9" name="duplicate_group"/>
    <x:tableColumn id="10" name="resolution_status"/>
    <x:tableColumn id="11" name="confidence"/>
    <x:tableColumn id="12" name="actual_posting_author"/>
    <x:tableColumn id="13" name="actual_author_profile_url"/>
    <x:tableColumn id="14" name="exact_post_url"/>
    <x:tableColumn id="15" name="publication_date"/>
    <x:tableColumn id="16" name="credited_source_creator"/>
    <x:tableColumn id="17" name="credited_source_profile_url"/>
    <x:tableColumn id="18" name="visual_owner_or_org"/>
    <x:tableColumn id="19" name="transfer_class"/>
    <x:tableColumn id="20" name="track_a_overlap"/>
    <x:tableColumn id="21" name="resolution_evidence_url"/>
    <x:tableColumn id="22" name="resolution_evidence_note"/>
    <x:tableColumn id="23" name="needs_exact_post_fetch"/>
    <x:tableColumn id="24" name="success_provenance"/>
    <x:tableColumn id="25" name="notes"/>
  </x:tableColumns>
  <x:tableStyleInfo name="TableStyleMedium2" showFirstColumn="0" showLastColumn="0" showRowStripes="1" showColumnStripes="0"/>
</x:table>
</file>

<file path=xl/tables/table5.xml><?xml version="1.0" encoding="utf-8"?>
<x:table xmlns:x="http://schemas.openxmlformats.org/spreadsheetml/2006/main" id="5" name="PeerRosterTable" displayName="PeerRosterTable" ref="A1:O31" headerRowCount="1" totalsRowCount="0" totalsRowShown="0">
  <x:tableColumns count="15">
    <x:tableColumn id="1" name="candidate_id"/>
    <x:tableColumn id="2" name="cohort"/>
    <x:tableColumn id="3" name="size_stratum"/>
    <x:tableColumn id="4" name="creator"/>
    <x:tableColumn id="5" name="profile_url"/>
    <x:tableColumn id="6" name="approx_followers"/>
    <x:tableColumn id="7" name="followers_as_of"/>
    <x:tableColumn id="8" name="selection_provenance"/>
    <x:tableColumn id="9" name="fit_reason"/>
    <x:tableColumn id="10" name="prior_outcome_exposure"/>
    <x:tableColumn id="11" name="confidence"/>
    <x:tableColumn id="12" name="stage0_status"/>
    <x:tableColumn id="13" name="verification_required"/>
    <x:tableColumn id="14" name="normalized_size_cell"/>
    <x:tableColumn id="15" name="target_cell_key"/>
  </x:tableColumns>
  <x:tableStyleInfo name="TableStyleMedium2" showFirstColumn="0" showLastColumn="0" showRowStripes="1" showColumnStripes="0"/>
</x:table>
</file>

<file path=xl/tables/table6.xml><?xml version="1.0" encoding="utf-8"?>
<x:table xmlns:x="http://schemas.openxmlformats.org/spreadsheetml/2006/main" id="6" name="CreatorUnionTable" displayName="CreatorUnionTable" ref="A1:M82" headerRowCount="1" totalsRowCount="0" totalsRowShown="0">
  <x:tableColumns count="13">
    <x:tableColumn id="1" name="union_creator_id"/>
    <x:tableColumn id="2" name="creator"/>
    <x:tableColumn id="3" name="normalized_profile_url"/>
    <x:tableColumn id="4" name="entity_type"/>
    <x:tableColumn id="5" name="track_a"/>
    <x:tableColumn id="6" name="track_b"/>
    <x:tableColumn id="7" name="peer_candidate_ids"/>
    <x:tableColumn id="8" name="peer_cohorts"/>
    <x:tableColumn id="9" name="peer_declared_size_strata"/>
    <x:tableColumn id="10" name="top100_reference_ids"/>
    <x:tableColumn id="11" name="top100_transfer_classes"/>
    <x:tableColumn id="12" name="prior_outcome_exposure"/>
    <x:tableColumn id="13" name="deduplication_note"/>
  </x:tableColumns>
  <x:tableStyleInfo name="TableStyleMedium2" showFirstColumn="0" showLastColumn="0" showRowStripes="1" showColumnStripes="0"/>
</x:table>
</file>

<file path=xl/tables/table7.xml><?xml version="1.0" encoding="utf-8"?>
<x:table xmlns:x="http://schemas.openxmlformats.org/spreadsheetml/2006/main" id="7" name="CanaryPlanTable" displayName="CanaryPlanTable" ref="A3:I9" headerRowCount="1" totalsRowCount="0" totalsRowShown="0">
  <x:tableColumns count="9">
    <x:tableColumn id="1" name="canary_item_id"/>
    <x:tableColumn id="2" name="item_type"/>
    <x:tableColumn id="3" name="track_role"/>
    <x:tableColumn id="4" name="creator_or_case"/>
    <x:tableColumn id="5" name="target_url"/>
    <x:tableColumn id="6" name="max_posts"/>
    <x:tableColumn id="7" name="observed_result"/>
    <x:tableColumn id="8" name="planned_cost_usd"/>
    <x:tableColumn id="9" name="execution_status"/>
  </x:tableColumns>
  <x:tableStyleInfo name="TableStyleMedium2" showFirstColumn="0" showLastColumn="0" showRowStripes="1" showColumnStripes="0"/>
</x:table>
</file>

<file path=xl/tables/table8.xml><?xml version="1.0" encoding="utf-8"?>
<x:table xmlns:x="http://schemas.openxmlformats.org/spreadsheetml/2006/main" id="8" name="ScoutQueueTable" displayName="ScoutQueueTable" ref="A4:R34" headerRowCount="1" totalsRowCount="0" totalsRowShown="0">
  <x:tableColumns count="18">
    <x:tableColumn id="1" name="signal_id"/>
    <x:tableColumn id="2" name="candidate_topic"/>
    <x:tableColumn id="3" name="audience_role"/>
    <x:tableColumn id="4" name="domain"/>
    <x:tableColumn id="5" name="problem_family"/>
    <x:tableColumn id="6" name="pain_or_stakes"/>
    <x:tableColumn id="7" name="source_layer"/>
    <x:tableColumn id="8" name="source_creator_or_post"/>
    <x:tableColumn id="9" name="peer_repeatability"/>
    <x:tableColumn id="10" name="top100_exceptionality"/>
    <x:tableColumn id="11" name="tiger_precedent"/>
    <x:tableColumn id="12" name="public_data_available"/>
    <x:tableColumn id="13" name="artifact_candidate"/>
    <x:tableColumn id="14" name="ai_role"/>
    <x:tableColumn id="15" name="validation_check"/>
    <x:tableColumn id="16" name="evidence_tier"/>
    <x:tableColumn id="17" name="status"/>
    <x:tableColumn id="18" name="notes"/>
  </x:tableColumns>
  <x:tableStyleInfo name="TableStyleMedium2" showFirstColumn="0" showLastColumn="0" showRowStripes="1" showColumnStripes="0"/>
</x:table>
</file>

<file path=xl/tables/table9.xml><?xml version="1.0" encoding="utf-8"?>
<x:table xmlns:x="http://schemas.openxmlformats.org/spreadsheetml/2006/main" id="9" name="CodebookFieldsTable" displayName="CodebookFieldsTable" ref="A1:E25" headerRowCount="1" totalsRowCount="0" totalsRowShown="0">
  <x:tableColumns count="5">
    <x:tableColumn id="1" name="field"/>
    <x:tableColumn id="2" name="research question"/>
    <x:tableColumn id="3" name="allowed values"/>
    <x:tableColumn id="4" name="required view"/>
    <x:tableColumn id="5" name="type"/>
  </x:tableColumns>
  <x:tableStyleInfo name="TableStyleMedium2" showFirstColumn="0" showLastColumn="0" showRowStripes="1" showColumnStripes="0"/>
</x:table>
</file>

<file path=xl/tables/table10.xml><?xml version="1.0" encoding="utf-8"?>
<x:table xmlns:x="http://schemas.openxmlformats.org/spreadsheetml/2006/main" id="10" name="ActorRunLedgerTable" displayName="ActorRunLedgerTable" ref="A1:L31" headerRowCount="1" totalsRowCount="0" totalsRowShown="0">
  <x:tableColumns count="12">
    <x:tableColumn id="1" name="run_date"/>
    <x:tableColumn id="2" name="gate"/>
    <x:tableColumn id="3" name="actor"/>
    <x:tableColumn id="4" name="run_id"/>
    <x:tableColumn id="5" name="dataset_id"/>
    <x:tableColumn id="6" name="input_profiles_or_urls"/>
    <x:tableColumn id="7" name="output_rows"/>
    <x:tableColumn id="8" name="cost_usd"/>
    <x:tableColumn id="9" name="cumulative_cost_usd"/>
    <x:tableColumn id="10" name="status"/>
    <x:tableColumn id="11" name="schema_version"/>
    <x:tableColumn id="12" name="checkpoint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f01e8b080946f8" /></Relationships>
</file>

<file path=xl/worksheets/_rels/sheet3.xml.rels>&#65279;<?xml version="1.0" encoding="utf-8"?><Relationships xmlns="http://schemas.openxmlformats.org/package/2006/relationships"><Relationship Type="http://schemas.openxmlformats.org/officeDocument/2006/relationships/table" Target="/xl/tables/table2.xml" Id="R3cb490b6a2cc4f33" /></Relationships>
</file>

<file path=xl/worksheets/_rels/sheet4.xml.rels>&#65279;<?xml version="1.0" encoding="utf-8"?><Relationships xmlns="http://schemas.openxmlformats.org/package/2006/relationships"><Relationship Type="http://schemas.openxmlformats.org/officeDocument/2006/relationships/table" Target="/xl/tables/table3.xml" Id="R36b29bb5aae943cf" /></Relationships>
</file>

<file path=xl/worksheets/_rels/sheet5.xml.rels>&#65279;<?xml version="1.0" encoding="utf-8"?><Relationships xmlns="http://schemas.openxmlformats.org/package/2006/relationships"><Relationship Type="http://schemas.openxmlformats.org/officeDocument/2006/relationships/table" Target="/xl/tables/table4.xml" Id="Rce25bd6b363e4693" /></Relationships>
</file>

<file path=xl/worksheets/_rels/sheet6.xml.rels>&#65279;<?xml version="1.0" encoding="utf-8"?><Relationships xmlns="http://schemas.openxmlformats.org/package/2006/relationships"><Relationship Type="http://schemas.openxmlformats.org/officeDocument/2006/relationships/table" Target="/xl/tables/table5.xml" Id="R395b0fedf3da4ad8" /></Relationships>
</file>

<file path=xl/worksheets/_rels/sheet7.xml.rels>&#65279;<?xml version="1.0" encoding="utf-8"?><Relationships xmlns="http://schemas.openxmlformats.org/package/2006/relationships"><Relationship Type="http://schemas.openxmlformats.org/officeDocument/2006/relationships/table" Target="/xl/tables/table6.xml" Id="Rf97d8665497f4734" /></Relationships>
</file>

<file path=xl/worksheets/_rels/sheet8.xml.rels>&#65279;<?xml version="1.0" encoding="utf-8"?><Relationships xmlns="http://schemas.openxmlformats.org/package/2006/relationships"><Relationship Type="http://schemas.openxmlformats.org/officeDocument/2006/relationships/table" Target="/xl/tables/table7.xml" Id="R9039eed9138348e4" /></Relationships>
</file>

<file path=xl/worksheets/_rels/sheet9.xml.rels>&#65279;<?xml version="1.0" encoding="utf-8"?><Relationships xmlns="http://schemas.openxmlformats.org/package/2006/relationships"><Relationship Type="http://schemas.openxmlformats.org/officeDocument/2006/relationships/table" Target="/xl/tables/table8.xml" Id="R4cfc84275084449d" /></Relationships>
</file>

<file path=xl/worksheets/_rels/sheet10.xml.rels>&#65279;<?xml version="1.0" encoding="utf-8"?><Relationships xmlns="http://schemas.openxmlformats.org/package/2006/relationships"><Relationship Type="http://schemas.openxmlformats.org/officeDocument/2006/relationships/table" Target="/xl/tables/table9.xml" Id="Rc0385f0c66d2470a" /></Relationships>
</file>

<file path=xl/worksheets/_rels/sheet11.xml.rels>&#65279;<?xml version="1.0" encoding="utf-8"?><Relationships xmlns="http://schemas.openxmlformats.org/package/2006/relationships"><Relationship Type="http://schemas.openxmlformats.org/officeDocument/2006/relationships/table" Target="/xl/tables/table10.xml" Id="Rce7b952bfb234c68"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3" hidden="0" customWidth="1"/>
    <x:col min="4" max="4" width="22" hidden="0" customWidth="1"/>
    <x:col min="5" max="5" width="34" hidden="0" customWidth="1"/>
    <x:col min="6" max="6" width="22" hidden="0" customWidth="1"/>
    <x:col min="7" max="7" width="30" hidden="0" customWidth="1"/>
    <x:col min="8" max="8" width="24" hidden="0" customWidth="1"/>
  </x:cols>
  <x:sheetData>
    <x:row r="1" ht="34" customHeight="1">
      <x:c r="A1" s="23" t="str">
        <x:v>LinkedIn V4 — Stage 0 Research Control</x:v>
      </x:c>
      <x:c r="B1" s="23"/>
      <x:c r="C1" s="23"/>
      <x:c r="D1" s="23"/>
      <x:c r="E1" s="23"/>
      <x:c r="F1" s="23"/>
      <x:c r="G1" s="23"/>
      <x:c r="H1" s="23"/>
    </x:row>
    <x:row r="2">
      <x:c r="A2" s="39"/>
      <x:c r="B2" s="39"/>
      <x:c r="C2" s="39"/>
      <x:c r="D2" s="39"/>
      <x:c r="E2" s="39"/>
      <x:c r="F2" s="39"/>
      <x:c r="G2" s="39"/>
      <x:c r="H2" s="39"/>
    </x:row>
    <x:row r="3">
      <x:c r="A3" s="25" t="str">
        <x:v>Purpose: keep Tiger's baseline, a near-peer/current-market sample, and the Top-100 curated-success cases independent until synthesis. The approved Gate 1 canary ran; its schema gate is blocked, and no full extraction is authorized.</x:v>
      </x:c>
      <x:c r="B3" s="25"/>
      <x:c r="C3" s="25"/>
      <x:c r="D3" s="25"/>
      <x:c r="E3" s="25"/>
      <x:c r="F3" s="25"/>
      <x:c r="G3" s="25"/>
      <x:c r="H3" s="25"/>
    </x:row>
    <x:row r="4">
      <x:c r="A4" s="25"/>
      <x:c r="B4" s="25"/>
      <x:c r="C4" s="25"/>
      <x:c r="D4" s="25"/>
      <x:c r="E4" s="25"/>
      <x:c r="F4" s="25"/>
      <x:c r="G4" s="25"/>
      <x:c r="H4" s="25"/>
    </x:row>
    <x:row r="5">
      <x:c r="A5" s="39"/>
      <x:c r="B5" s="39"/>
      <x:c r="C5" s="39"/>
      <x:c r="D5" s="39"/>
      <x:c r="E5" s="39"/>
      <x:c r="F5" s="39"/>
      <x:c r="G5" s="39"/>
      <x:c r="H5" s="39"/>
    </x:row>
    <x:row r="6">
      <x:c r="A6" s="26" t="str">
        <x:v>Corpus checkpoint</x:v>
      </x:c>
      <x:c r="B6" s="26" t="str">
        <x:v>Value</x:v>
      </x:c>
      <x:c r="C6" s="39"/>
      <x:c r="D6" s="26" t="str">
        <x:v>Evidence layer</x:v>
      </x:c>
      <x:c r="E6" s="26" t="str">
        <x:v>Question</x:v>
      </x:c>
      <x:c r="F6" s="26" t="str">
        <x:v>Outcome</x:v>
      </x:c>
      <x:c r="G6" s="26" t="str">
        <x:v>Can prove</x:v>
      </x:c>
      <x:c r="H6" s="26" t="str">
        <x:v>Cannot prove</x:v>
      </x:c>
    </x:row>
    <x:row r="7">
      <x:c r="A7" s="41" t="str">
        <x:v>Top-100 source rows</x:v>
      </x:c>
      <x:c r="B7" s="42" t="n">
        <x:v>100</x:v>
      </x:c>
      <x:c r="C7" s="39"/>
      <x:c r="D7" s="43" t="str">
        <x:v>Tiger baseline</x:v>
      </x:c>
      <x:c r="E7" s="43" t="str">
        <x:v>What has worked for us?</x:v>
      </x:c>
      <x:c r="F7" s="43" t="str">
        <x:v>Private impressions/engagement when exactly joined</x:v>
      </x:c>
      <x:c r="G7" s="43" t="str">
        <x:v>Current strengths and gaps</x:v>
      </x:c>
      <x:c r="H7" s="43" t="str">
        <x:v>Future causal performance</x:v>
      </x:c>
    </x:row>
    <x:row r="8">
      <x:c r="A8" s="44" t="str">
        <x:v>Local assets present</x:v>
      </x:c>
      <x:c r="B8" s="45" t="n">
        <x:v>97</x:v>
      </x:c>
      <x:c r="C8" s="39"/>
      <x:c r="D8" s="43" t="str">
        <x:v>Track A — peers</x:v>
      </x:c>
      <x:c r="E8" s="43" t="str">
        <x:v>What transfers near our scale?</x:v>
      </x:c>
      <x:c r="F8" s="43" t="str">
        <x:v>Within-creator public-response lift</x:v>
      </x:c>
      <x:c r="G8" s="43" t="str">
        <x:v>Current base rates and near-peer repeatability</x:v>
      </x:c>
      <x:c r="H8" s="43" t="str">
        <x:v>Competitor reach or conversions</x:v>
      </x:c>
    </x:row>
    <x:row r="9">
      <x:c r="A9" s="44" t="str">
        <x:v>Rows in duplicate groups</x:v>
      </x:c>
      <x:c r="B9" s="45" t="n">
        <x:v>2</x:v>
      </x:c>
      <x:c r="C9" s="39"/>
      <x:c r="D9" s="43" t="str">
        <x:v>Track B — Top 100</x:v>
      </x:c>
      <x:c r="E9" s="43" t="str">
        <x:v>What distinguishes known winners?</x:v>
      </x:c>
      <x:c r="F9" s="43" t="str">
        <x:v>Case lift versus same-author controls</x:v>
      </x:c>
      <x:c r="G9" s="43" t="str">
        <x:v>Breakout mechanics and within-author exceptionality</x:v>
      </x:c>
      <x:c r="H9" s="43" t="str">
        <x:v>Market prevalence or small-account transfer</x:v>
      </x:c>
    </x:row>
    <x:row r="10">
      <x:c r="A10" s="44" t="str">
        <x:v>Posting authors resolved</x:v>
      </x:c>
      <x:c r="B10" s="45" t="n">
        <x:v>97</x:v>
      </x:c>
      <x:c r="C10" s="39"/>
      <x:c r="D10" s="43" t="str">
        <x:v>Tiger experiments — later</x:v>
      </x:c>
      <x:c r="E10" s="43" t="str">
        <x:v>Does the mechanic work for us?</x:v>
      </x:c>
      <x:c r="F10" s="43" t="str">
        <x:v>Reach, followers, visits, downloads, usage</x:v>
      </x:c>
      <x:c r="G10" s="43" t="str">
        <x:v>Transfer and resource demand</x:v>
      </x:c>
      <x:c r="H10" s="43" t="str">
        <x:v>Anything before publication</x:v>
      </x:c>
    </x:row>
    <x:row r="11">
      <x:c r="A11" s="44" t="str">
        <x:v>Exact post URLs resolved</x:v>
      </x:c>
      <x:c r="B11" s="45" t="n">
        <x:v>89</x:v>
      </x:c>
      <x:c r="C11" s="39"/>
      <x:c r="D11" s="39"/>
      <x:c r="E11" s="39"/>
      <x:c r="F11" s="39"/>
      <x:c r="G11" s="39"/>
      <x:c r="H11" s="39"/>
    </x:row>
    <x:row r="12">
      <x:c r="A12" s="44" t="str">
        <x:v>Peer candidates</x:v>
      </x:c>
      <x:c r="B12" s="45" t="n">
        <x:f>COUNTA('Peer Roster'!A2:A31)</x:f>
        <x:v>30</x:v>
      </x:c>
      <x:c r="C12" s="39"/>
      <x:c r="D12" s="39"/>
      <x:c r="E12" s="39"/>
      <x:c r="F12" s="39"/>
      <x:c r="G12" s="39"/>
      <x:c r="H12" s="39"/>
    </x:row>
    <x:row r="13">
      <x:c r="A13" s="44" t="str">
        <x:v>Near-peer candidates (500–5,000)</x:v>
      </x:c>
      <x:c r="B13" s="45" t="n">
        <x:f>COUNTIF('Peer Roster'!N2:N31,"near_peer_500_5k")</x:f>
        <x:v>12</x:v>
      </x:c>
      <x:c r="C13" s="39"/>
      <x:c r="D13" s="26" t="str">
        <x:v>Gate</x:v>
      </x:c>
      <x:c r="E13" s="26" t="str">
        <x:v>Required output</x:v>
      </x:c>
      <x:c r="F13" s="26" t="str">
        <x:v>Status</x:v>
      </x:c>
      <x:c r="G13" s="26" t="str">
        <x:v>Stop condition</x:v>
      </x:c>
      <x:c r="H13" s="26" t="str">
        <x:v>Owner note</x:v>
      </x:c>
    </x:row>
    <x:row r="14">
      <x:c r="A14" s="44" t="str">
        <x:v>Tiger ranked-post union</x:v>
      </x:c>
      <x:c r="B14" s="45" t="n">
        <x:v>50</x:v>
      </x:c>
      <x:c r="C14" s="39"/>
      <x:c r="D14" s="43" t="str">
        <x:v>0A</x:v>
      </x:c>
      <x:c r="E14" s="43" t="str">
        <x:v>Three-layer research contract</x:v>
      </x:c>
      <x:c r="F14" s="43" t="str">
        <x:v>complete</x:v>
      </x:c>
      <x:c r="G14" s="43" t="str">
        <x:v>Any layer substituted for another</x:v>
      </x:c>
      <x:c r="H14" s="43" t="str">
        <x:v>Research spec</x:v>
      </x:c>
    </x:row>
    <x:row r="15">
      <x:c r="A15" s="46" t="str">
        <x:v>Tiger mature ranked posts</x:v>
      </x:c>
      <x:c r="B15" s="47" t="n">
        <x:v>49</x:v>
      </x:c>
      <x:c r="C15" s="39"/>
      <x:c r="D15" s="43" t="str">
        <x:v>0B</x:v>
      </x:c>
      <x:c r="E15" s="43" t="str">
        <x:v>100-row identity census</x:v>
      </x:c>
      <x:c r="F15" s="43" t="str">
        <x:v>complete</x:v>
      </x:c>
      <x:c r="G15" s="43" t="str">
        <x:v>&lt;95% authors or &lt;85% exact post URLs</x:v>
      </x:c>
      <x:c r="H15" s="43" t="str">
        <x:v>No guessing</x:v>
      </x:c>
    </x:row>
    <x:row r="16">
      <x:c r="A16" s="26" t="str">
        <x:v>Budget guardrail</x:v>
      </x:c>
      <x:c r="B16" s="26" t="str">
        <x:v>Value</x:v>
      </x:c>
      <x:c r="C16" s="39"/>
      <x:c r="D16" s="43" t="str">
        <x:v>0C</x:v>
      </x:c>
      <x:c r="E16" s="43" t="str">
        <x:v>30-person peer roster with 12 near-peer candidates</x:v>
      </x:c>
      <x:c r="F16" s="43" t="str">
        <x:v>in_progress</x:v>
      </x:c>
      <x:c r="G16" s="43" t="str">
        <x:v>&lt;12 eligible near peers</x:v>
      </x:c>
      <x:c r="H16" s="43" t="str">
        <x:v>Candidate pool assembled; eligibility still outcome-blind</x:v>
      </x:c>
    </x:row>
    <x:row r="17">
      <x:c r="A17" s="39" t="str">
        <x:v>Unique Track A + B author entities</x:v>
      </x:c>
      <x:c r="B17" s="39" t="n">
        <x:v>81</x:v>
      </x:c>
      <x:c r="C17" s="39"/>
      <x:c r="D17" s="43" t="str">
        <x:v>0D</x:v>
      </x:c>
      <x:c r="E17" s="43" t="str">
        <x:v>Codebook reliability + deduplicated union</x:v>
      </x:c>
      <x:c r="F17" s="43" t="str">
        <x:v>in_progress</x:v>
      </x:c>
      <x:c r="G17" s="43" t="str">
        <x:v>Field fails twice</x:v>
      </x:c>
      <x:c r="H17" s="43" t="str">
        <x:v>Freeze before outcomes</x:v>
      </x:c>
    </x:row>
    <x:row r="18">
      <x:c r="A18" s="39" t="str">
        <x:v>Personal profiles in union</x:v>
      </x:c>
      <x:c r="B18" s="39" t="n">
        <x:v>78</x:v>
      </x:c>
      <x:c r="C18" s="39"/>
      <x:c r="D18" s="43" t="str">
        <x:v>1</x:v>
      </x:c>
      <x:c r="E18" s="43" t="str">
        <x:v>Dual-track paid canary</x:v>
      </x:c>
      <x:c r="F18" s="43" t="str">
        <x:v>blocked</x:v>
      </x:c>
      <x:c r="G18" s="43" t="str">
        <x:v>4 excess duplicate rows / 32 = 12.5% (&gt;10%); media/quote/repost unresolved</x:v>
      </x:c>
      <x:c r="H18" s="43" t="str">
        <x:v>Runs succeeded; actual $0.07605; 3 profiles; 32 raw / 28 unique; no full-run approval</x:v>
      </x:c>
    </x:row>
    <x:row r="19">
      <x:c r="A19" s="39" t="str">
        <x:v>Company pages in union</x:v>
      </x:c>
      <x:c r="B19" s="39" t="n">
        <x:v>3</x:v>
      </x:c>
      <x:c r="C19" s="39"/>
      <x:c r="D19" s="43" t="str">
        <x:v>2</x:v>
      </x:c>
      <x:c r="E19" s="43" t="str">
        <x:v>Track A extraction</x:v>
      </x:c>
      <x:c r="F19" s="43" t="str">
        <x:v>blocked</x:v>
      </x:c>
      <x:c r="G19" s="43" t="str">
        <x:v>Gate 1 not cleared or no explicit full-run approval</x:v>
      </x:c>
      <x:c r="H19" s="43" t="str">
        <x:v>Max 30 raw posts/profile; canonical dedupe required</x:v>
      </x:c>
    </x:row>
    <x:row r="20">
      <x:c r="A20" s="39" t="str">
        <x:v>Exact reference fetches needed</x:v>
      </x:c>
      <x:c r="B20" s="39" t="n">
        <x:v>11</x:v>
      </x:c>
      <x:c r="C20" s="39"/>
      <x:c r="D20" s="43" t="str">
        <x:v>3</x:v>
      </x:c>
      <x:c r="E20" s="43" t="str">
        <x:v>Track B extraction</x:v>
      </x:c>
      <x:c r="F20" s="43" t="str">
        <x:v>blocked</x:v>
      </x:c>
      <x:c r="G20" s="43" t="str">
        <x:v>Gate 1 not cleared or no explicit full-run approval</x:v>
      </x:c>
      <x:c r="H20" s="43" t="str">
        <x:v>Use local Top-100 assets; deduplicate against Track A</x:v>
      </x:c>
    </x:row>
    <x:row r="21">
      <x:c r="A21" s="39" t="str">
        <x:v>Profile price (USD)</x:v>
      </x:c>
      <x:c r="B21" s="48" t="n">
        <x:v>0.004</x:v>
      </x:c>
      <x:c r="C21" s="39"/>
      <x:c r="D21" s="43" t="str">
        <x:v>4</x:v>
      </x:c>
      <x:c r="E21" s="43" t="str">
        <x:v>Blind coding + synthesis</x:v>
      </x:c>
      <x:c r="F21" s="43" t="str">
        <x:v>not_started</x:v>
      </x:c>
      <x:c r="G21" s="43" t="str">
        <x:v>Outcome leakage</x:v>
      </x:c>
      <x:c r="H21" s="43" t="str">
        <x:v>Creator-weighted</x:v>
      </x:c>
    </x:row>
    <x:row r="22">
      <x:c r="A22" s="39" t="str">
        <x:v>Post price (USD)</x:v>
      </x:c>
      <x:c r="B22" s="48" t="n">
        <x:v>0.002</x:v>
      </x:c>
      <x:c r="C22" s="39"/>
      <x:c r="D22" s="43" t="str">
        <x:v>5</x:v>
      </x:c>
      <x:c r="E22" s="43" t="str">
        <x:v>V4 operating map</x:v>
      </x:c>
      <x:c r="F22" s="43" t="str">
        <x:v>not_started</x:v>
      </x:c>
      <x:c r="G22" s="43" t="str">
        <x:v>Built before evidence review</x:v>
      </x:c>
      <x:c r="H22" s="43" t="str">
        <x:v>Production changes only here</x:v>
      </x:c>
    </x:row>
    <x:row r="23">
      <x:c r="A23" s="39" t="str">
        <x:v>Post Actor start fee (USD)</x:v>
      </x:c>
      <x:c r="B23" s="49" t="n">
        <x:v>0.00005</x:v>
      </x:c>
      <x:c r="C23" s="39"/>
      <x:c r="D23" s="39"/>
      <x:c r="E23" s="39"/>
      <x:c r="F23" s="39"/>
      <x:c r="G23" s="39"/>
      <x:c r="H23" s="39"/>
    </x:row>
    <x:row r="24">
      <x:c r="A24" s="39" t="str">
        <x:v>History cap per external author</x:v>
      </x:c>
      <x:c r="B24" s="39" t="n">
        <x:v>30</x:v>
      </x:c>
      <x:c r="C24" s="39"/>
      <x:c r="D24" s="39"/>
      <x:c r="E24" s="39"/>
      <x:c r="F24" s="39"/>
      <x:c r="G24" s="39"/>
      <x:c r="H24" s="39"/>
    </x:row>
    <x:row r="25">
      <x:c r="A25" s="39" t="str">
        <x:v>External histories + exact cost (USD)</x:v>
      </x:c>
      <x:c r="B25" s="50" t="n">
        <x:f>B18*B21+B17*B24*B22+B20*B22+B23</x:f>
        <x:v>5.194050000000001</x:v>
      </x:c>
      <x:c r="C25" s="39"/>
      <x:c r="D25" s="39"/>
      <x:c r="E25" s="39"/>
      <x:c r="F25" s="39"/>
      <x:c r="G25" s="39"/>
      <x:c r="H25" s="39"/>
    </x:row>
    <x:row r="26">
      <x:c r="A26" s="39" t="str">
        <x:v>Tiger public-history cap</x:v>
      </x:c>
      <x:c r="B26" s="51" t="n">
        <x:v>120</x:v>
      </x:c>
      <x:c r="C26" s="39"/>
      <x:c r="D26" s="39"/>
      <x:c r="E26" s="39"/>
      <x:c r="F26" s="39"/>
      <x:c r="G26" s="39"/>
      <x:c r="H26" s="39"/>
    </x:row>
    <x:row r="27">
      <x:c r="A27" s="39" t="str">
        <x:v>Total projected Actor cost (USD)</x:v>
      </x:c>
      <x:c r="B27" s="50" t="n">
        <x:f>B25+B26*B22</x:f>
        <x:v>5.434050000000001</x:v>
      </x:c>
      <x:c r="C27" s="39"/>
      <x:c r="D27" s="39"/>
      <x:c r="E27" s="39"/>
      <x:c r="F27" s="39"/>
      <x:c r="G27" s="39"/>
      <x:c r="H27" s="39"/>
    </x:row>
    <x:row r="28">
      <x:c r="A28" s="39" t="str">
        <x:v>Hard stop (USD)</x:v>
      </x:c>
      <x:c r="B28" s="50" t="n">
        <x:v>8.25</x:v>
      </x:c>
      <x:c r="C28" s="39"/>
      <x:c r="D28" s="39"/>
      <x:c r="E28" s="39"/>
      <x:c r="F28" s="39"/>
      <x:c r="G28" s="39"/>
      <x:c r="H28" s="39"/>
    </x:row>
  </x:sheetData>
  <x:mergeCells>
    <x:mergeCell ref="A1:H1"/>
    <x:mergeCell ref="A3:H4"/>
  </x:mergeCells>
  <x:conditionalFormatting sqref="F14:F22">
    <x:cfRule type="containsText" dxfId="0" priority="1" operator="containsText" text="complete"/>
    <x:cfRule type="containsText" dxfId="1" priority="2" operator="containsText" text="blocked"/>
    <x:cfRule type="containsText" dxfId="2" priority="3" operator="containsText" text="in_progress"/>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4" hidden="0" customWidth="1"/>
    <x:col min="2" max="2" width="46" hidden="0" customWidth="1"/>
    <x:col min="3" max="3" width="16" hidden="0" customWidth="1"/>
    <x:col min="4" max="4" width="16" hidden="0" customWidth="1"/>
    <x:col min="5" max="5" width="20" hidden="0" customWidth="1"/>
    <x:col min="6" max="6" width="20" hidden="0" customWidth="1"/>
    <x:col min="7" max="7" width="20" hidden="0" customWidth="1"/>
    <x:col min="8" max="8" width="24" hidden="0" customWidth="1"/>
    <x:col min="9" max="9" width="24" hidden="0" customWidth="1"/>
    <x:col min="10" max="10" width="42" hidden="0" customWidth="1"/>
  </x:cols>
  <x:sheetData>
    <x:row r="1" ht="34" customHeight="1">
      <x:c r="A1" s="3" t="str">
        <x:v>Tiger Baseline — Private LinkedIn Analytics</x:v>
      </x:c>
      <x:c r="B1" s="3"/>
      <x:c r="C1" s="3"/>
      <x:c r="D1" s="3"/>
      <x:c r="E1" s="3"/>
      <x:c r="F1" s="3"/>
      <x:c r="G1" s="3"/>
      <x:c r="H1" s="3"/>
      <x:c r="I1" s="3"/>
      <x:c r="J1" s="3"/>
    </x:row>
    <x:row r="3">
      <x:c r="A3" s="14" t="str">
        <x:v>Baseline checkpoint</x:v>
      </x:c>
      <x:c r="B3" s="14" t="str">
        <x:v>Value</x:v>
      </x:c>
      <x:c r="D3" s="14" t="str">
        <x:v>Interpretation guardrails</x:v>
      </x:c>
      <x:c r="E3" s="14"/>
      <x:c r="F3" s="14"/>
      <x:c r="G3" s="14"/>
      <x:c r="H3" s="14"/>
      <x:c r="I3" s="14"/>
      <x:c r="J3" s="14"/>
    </x:row>
    <x:row r="4" ht="38" customHeight="1">
      <x:c r="A4" t="str">
        <x:v>Source export</x:v>
      </x:c>
      <x:c r="B4" s="22" t="str">
        <x:v>AggregateAnalytics_Poornajith Shetty_2026-02-15_2026-07-27-2.xlsx</x:v>
      </x:c>
      <x:c r="D4" s="53" t="str">
        <x:v>This is not a full post census. LinkedIn exports a maximum of 50 posts in each ranking: one list by engagements and one by impressions. The sheet joins their union by exact post URL. A blank metric means the post was absent from that ranked list; it must remain unknown, never zero. Outcomes are usable for Tiger-only baseline comparisons after exact post identity and maturity checks.</x:v>
      </x:c>
      <x:c r="E4" s="53"/>
      <x:c r="F4" s="53"/>
      <x:c r="G4" s="53"/>
      <x:c r="H4" s="53"/>
      <x:c r="I4" s="53"/>
      <x:c r="J4" s="53"/>
    </x:row>
    <x:row r="5" ht="38" customHeight="1">
      <x:c r="A5" t="str">
        <x:v>Source SHA-256</x:v>
      </x:c>
      <x:c r="B5" s="22" t="str">
        <x:v>bdaf86c36a7e2a82f047752cf462254f0a07f7682aa41140d4e6fe738c7ff1c7</x:v>
      </x:c>
      <x:c r="D5" s="53"/>
      <x:c r="E5" s="53"/>
      <x:c r="F5" s="53"/>
      <x:c r="G5" s="53"/>
      <x:c r="H5" s="53"/>
      <x:c r="I5" s="53"/>
      <x:c r="J5" s="53"/>
    </x:row>
    <x:row r="6">
      <x:c r="A6" t="str">
        <x:v>Analytics window</x:v>
      </x:c>
      <x:c r="B6" t="str">
        <x:v>2/15/2026 - 7/27/2026</x:v>
      </x:c>
      <x:c r="D6" s="53"/>
      <x:c r="E6" s="53"/>
      <x:c r="F6" s="53"/>
      <x:c r="G6" s="53"/>
      <x:c r="H6" s="53"/>
      <x:c r="I6" s="53"/>
      <x:c r="J6" s="53"/>
    </x:row>
    <x:row r="7">
      <x:c r="A7" t="str">
        <x:v>Overall impressions</x:v>
      </x:c>
      <x:c r="B7" s="52" t="n">
        <x:v>331745</x:v>
      </x:c>
      <x:c r="D7" s="53"/>
      <x:c r="E7" s="53"/>
      <x:c r="F7" s="53"/>
      <x:c r="G7" s="53"/>
      <x:c r="H7" s="53"/>
      <x:c r="I7" s="53"/>
      <x:c r="J7" s="53"/>
    </x:row>
    <x:row r="8">
      <x:c r="A8" t="str">
        <x:v>Members reached</x:v>
      </x:c>
      <x:c r="B8" s="52" t="n">
        <x:v>191166</x:v>
      </x:c>
      <x:c r="D8" s="53"/>
      <x:c r="E8" s="53"/>
      <x:c r="F8" s="53"/>
      <x:c r="G8" s="53"/>
      <x:c r="H8" s="53"/>
      <x:c r="I8" s="53"/>
      <x:c r="J8" s="53"/>
    </x:row>
    <x:row r="9">
      <x:c r="A9" t="str">
        <x:v>Followers at 2026-07-27</x:v>
      </x:c>
      <x:c r="B9" s="52" t="n">
        <x:v>1510</x:v>
      </x:c>
      <x:c r="D9" s="53"/>
      <x:c r="E9" s="53"/>
      <x:c r="F9" s="53"/>
      <x:c r="G9" s="53"/>
      <x:c r="H9" s="53"/>
      <x:c r="I9" s="53"/>
      <x:c r="J9" s="53"/>
    </x:row>
    <x:row r="10">
      <x:c r="A10" t="str">
        <x:v>Ranked-post union</x:v>
      </x:c>
      <x:c r="B10" s="52" t="n">
        <x:v>50</x:v>
      </x:c>
      <x:c r="D10" s="57" t="str">
        <x:v>Preliminary concentration signal: the highest-impression post accounts for 53.2% of period impressions; the top 3 account for 78.9%; and the top 5 account for 85.4%. This establishes that current reach is highly outlier-dependent; it does not yet explain which content mechanics caused the outliers.</x:v>
      </x:c>
      <x:c r="E10" s="57"/>
      <x:c r="F10" s="57"/>
      <x:c r="G10" s="57"/>
      <x:c r="H10" s="57"/>
      <x:c r="I10" s="57"/>
      <x:c r="J10" s="57"/>
    </x:row>
    <x:row r="11">
      <x:c r="A11" t="str">
        <x:v>Mature ranked posts (published by 2026-07-13)</x:v>
      </x:c>
      <x:c r="B11" s="52" t="n">
        <x:v>49</x:v>
      </x:c>
      <x:c r="D11" s="57"/>
      <x:c r="E11" s="57"/>
      <x:c r="F11" s="57"/>
      <x:c r="G11" s="57"/>
      <x:c r="H11" s="57"/>
      <x:c r="I11" s="57"/>
      <x:c r="J11" s="57"/>
    </x:row>
    <x:row r="13" ht="32" customHeight="1">
      <x:c r="A13" s="58" t="str">
        <x:v>post_url</x:v>
      </x:c>
      <x:c r="B13" s="58" t="str">
        <x:v>publish_date</x:v>
      </x:c>
      <x:c r="C13" s="58" t="str">
        <x:v>engagements</x:v>
      </x:c>
      <x:c r="D13" s="58" t="str">
        <x:v>impressions</x:v>
      </x:c>
      <x:c r="E13" s="58" t="str">
        <x:v>engagement_top50</x:v>
      </x:c>
      <x:c r="F13" s="58" t="str">
        <x:v>impression_top50</x:v>
      </x:c>
      <x:c r="G13" s="58" t="str">
        <x:v>both_rankings</x:v>
      </x:c>
      <x:c r="H13" s="58" t="str">
        <x:v>mature_by_2026_07_13</x:v>
      </x:c>
      <x:c r="I13" s="58" t="str">
        <x:v>private_outcome_status</x:v>
      </x:c>
      <x:c r="J13" s="58" t="str">
        <x:v>note</x:v>
      </x:c>
    </x:row>
    <x:row r="14">
      <x:c r="A14" s="61" t="str">
        <x:v>https://www.linkedin.com/posts/shettys-desk_you-can-be-10-years-deep-into-supply-chain-share-7456785386728755201-uwN4</x:v>
      </x:c>
      <x:c r="B14" s="62" t="str">
        <x:v>2026-05-15</x:v>
      </x:c>
      <x:c r="C14" s="63" t="n">
        <x:v>1748</x:v>
      </x:c>
      <x:c r="D14" s="63" t="n">
        <x:v>176508</x:v>
      </x:c>
      <x:c r="E14" s="64" t="b">
        <x:v>1</x:v>
      </x:c>
      <x:c r="F14" s="64" t="b">
        <x:v>1</x:v>
      </x:c>
      <x:c r="G14" s="64" t="b">
        <x:v>1</x:v>
      </x:c>
      <x:c r="H14" s="64" t="b">
        <x:v>1</x:v>
      </x:c>
      <x:c r="I14" s="61" t="str">
        <x:v>complete_ranked_pair</x:v>
      </x:c>
      <x:c r="J14" s="22" t="str"/>
    </x:row>
    <x:row r="15">
      <x:c r="A15" s="61" t="str">
        <x:v>https://www.linkedin.com/posts/shettys-desk_shettysdesk-supplychain-logistics-share-7430619872558174208-lRvR</x:v>
      </x:c>
      <x:c r="B15" s="62" t="str">
        <x:v>2026-02-20</x:v>
      </x:c>
      <x:c r="C15" s="63" t="n">
        <x:v>520</x:v>
      </x:c>
      <x:c r="D15" s="63" t="n">
        <x:v>57077</x:v>
      </x:c>
      <x:c r="E15" s="64" t="b">
        <x:v>1</x:v>
      </x:c>
      <x:c r="F15" s="64" t="b">
        <x:v>1</x:v>
      </x:c>
      <x:c r="G15" s="64" t="b">
        <x:v>1</x:v>
      </x:c>
      <x:c r="H15" s="64" t="b">
        <x:v>1</x:v>
      </x:c>
      <x:c r="I15" s="61" t="str">
        <x:v>complete_ranked_pair</x:v>
      </x:c>
      <x:c r="J15" s="22" t="str"/>
    </x:row>
    <x:row r="16">
      <x:c r="A16" s="61" t="str">
        <x:v>https://www.linkedin.com/posts/shettys-desk_when-strategic-decisions-get-made-with-operational-share-7444395245808570368-7osB</x:v>
      </x:c>
      <x:c r="B16" s="62" t="str">
        <x:v>2026-03-30</x:v>
      </x:c>
      <x:c r="C16" s="63" t="n">
        <x:v>230</x:v>
      </x:c>
      <x:c r="D16" s="63" t="n">
        <x:v>28100</x:v>
      </x:c>
      <x:c r="E16" s="64" t="b">
        <x:v>1</x:v>
      </x:c>
      <x:c r="F16" s="64" t="b">
        <x:v>1</x:v>
      </x:c>
      <x:c r="G16" s="64" t="b">
        <x:v>1</x:v>
      </x:c>
      <x:c r="H16" s="64" t="b">
        <x:v>1</x:v>
      </x:c>
      <x:c r="I16" s="61" t="str">
        <x:v>complete_ranked_pair</x:v>
      </x:c>
      <x:c r="J16" s="22" t="str"/>
    </x:row>
    <x:row r="17">
      <x:c r="A17" s="61" t="str">
        <x:v>https://www.linkedin.com/posts/shettys-desk_a-1pl-owns-every-truck-and-every-warehouse-share-7450234604285870081-p9Zs</x:v>
      </x:c>
      <x:c r="B17" s="62" t="str">
        <x:v>2026-04-27</x:v>
      </x:c>
      <x:c r="C17" s="63" t="n">
        <x:v>49</x:v>
      </x:c>
      <x:c r="D17" s="63" t="n">
        <x:v>12545</x:v>
      </x:c>
      <x:c r="E17" s="64" t="b">
        <x:v>1</x:v>
      </x:c>
      <x:c r="F17" s="64" t="b">
        <x:v>1</x:v>
      </x:c>
      <x:c r="G17" s="64" t="b">
        <x:v>1</x:v>
      </x:c>
      <x:c r="H17" s="64" t="b">
        <x:v>1</x:v>
      </x:c>
      <x:c r="I17" s="61" t="str">
        <x:v>complete_ranked_pair</x:v>
      </x:c>
      <x:c r="J17" s="22" t="str"/>
    </x:row>
    <x:row r="18">
      <x:c r="A18" s="61" t="str">
        <x:v>https://www.linkedin.com/posts/shettys-desk_20-of-your-skus-drive-80-of-your-revenue-share-7449737863287451649-vLyV</x:v>
      </x:c>
      <x:c r="B18" s="62" t="str">
        <x:v>2026-04-22</x:v>
      </x:c>
      <x:c r="C18" s="63" t="n">
        <x:v>132</x:v>
      </x:c>
      <x:c r="D18" s="63" t="n">
        <x:v>8956</x:v>
      </x:c>
      <x:c r="E18" s="64" t="b">
        <x:v>1</x:v>
      </x:c>
      <x:c r="F18" s="64" t="b">
        <x:v>1</x:v>
      </x:c>
      <x:c r="G18" s="64" t="b">
        <x:v>1</x:v>
      </x:c>
      <x:c r="H18" s="64" t="b">
        <x:v>1</x:v>
      </x:c>
      <x:c r="I18" s="61" t="str">
        <x:v>complete_ranked_pair</x:v>
      </x:c>
      <x:c r="J18" s="22" t="str"/>
    </x:row>
    <x:row r="19">
      <x:c r="A19" s="61" t="str">
        <x:v>https://www.linkedin.com/posts/shettys-desk_why-does-the-worlds-most-recognised-energy-share-7436809796080562176-rgAV</x:v>
      </x:c>
      <x:c r="B19" s="62" t="str">
        <x:v>2026-03-09</x:v>
      </x:c>
      <x:c r="C19" s="63" t="n">
        <x:v>61</x:v>
      </x:c>
      <x:c r="D19" s="63" t="n">
        <x:v>7121</x:v>
      </x:c>
      <x:c r="E19" s="64" t="b">
        <x:v>1</x:v>
      </x:c>
      <x:c r="F19" s="64" t="b">
        <x:v>1</x:v>
      </x:c>
      <x:c r="G19" s="64" t="b">
        <x:v>1</x:v>
      </x:c>
      <x:c r="H19" s="64" t="b">
        <x:v>1</x:v>
      </x:c>
      <x:c r="I19" s="61" t="str">
        <x:v>complete_ranked_pair</x:v>
      </x:c>
      <x:c r="J19" s="22" t="str"/>
    </x:row>
    <x:row r="20">
      <x:c r="A20" s="61" t="str">
        <x:v>https://www.linkedin.com/posts/shettys-desk_safety-stock-exists-because-the-future-is-share-7449398364011540480-1vKt</x:v>
      </x:c>
      <x:c r="B20" s="62" t="str">
        <x:v>2026-04-17</x:v>
      </x:c>
      <x:c r="C20" s="63" t="n">
        <x:v>69</x:v>
      </x:c>
      <x:c r="D20" s="63" t="n">
        <x:v>6327</x:v>
      </x:c>
      <x:c r="E20" s="64" t="b">
        <x:v>1</x:v>
      </x:c>
      <x:c r="F20" s="64" t="b">
        <x:v>1</x:v>
      </x:c>
      <x:c r="G20" s="64" t="b">
        <x:v>1</x:v>
      </x:c>
      <x:c r="H20" s="64" t="b">
        <x:v>1</x:v>
      </x:c>
      <x:c r="I20" s="61" t="str">
        <x:v>complete_ranked_pair</x:v>
      </x:c>
      <x:c r="J20" s="22" t="str"/>
    </x:row>
    <x:row r="21">
      <x:c r="A21" s="61" t="str">
        <x:v>https://www.linkedin.com/posts/shettys-desk_this-is-what-took-the-us-from-their-shores-share-7439340291158884353-fxgp</x:v>
      </x:c>
      <x:c r="B21" s="62" t="str">
        <x:v>2026-03-16</x:v>
      </x:c>
      <x:c r="C21" s="63" t="n">
        <x:v>7</x:v>
      </x:c>
      <x:c r="D21" s="63" t="n">
        <x:v>4460</x:v>
      </x:c>
      <x:c r="E21" s="64" t="b">
        <x:v>1</x:v>
      </x:c>
      <x:c r="F21" s="64" t="b">
        <x:v>1</x:v>
      </x:c>
      <x:c r="G21" s="64" t="b">
        <x:v>1</x:v>
      </x:c>
      <x:c r="H21" s="64" t="b">
        <x:v>1</x:v>
      </x:c>
      <x:c r="I21" s="61" t="str">
        <x:v>complete_ranked_pair</x:v>
      </x:c>
      <x:c r="J21" s="22" t="str"/>
    </x:row>
    <x:row r="22">
      <x:c r="A22" s="61" t="str">
        <x:v>https://www.linkedin.com/posts/shettys-desk_how-does-a-car-manufacturer-decide-to-build-share-7447154550026760193-JXPX</x:v>
      </x:c>
      <x:c r="B22" s="62" t="str">
        <x:v>2026-04-08</x:v>
      </x:c>
      <x:c r="C22" s="63" t="n">
        <x:v>30</x:v>
      </x:c>
      <x:c r="D22" s="63" t="n">
        <x:v>3451</x:v>
      </x:c>
      <x:c r="E22" s="64" t="b">
        <x:v>1</x:v>
      </x:c>
      <x:c r="F22" s="64" t="b">
        <x:v>1</x:v>
      </x:c>
      <x:c r="G22" s="64" t="b">
        <x:v>1</x:v>
      </x:c>
      <x:c r="H22" s="64" t="b">
        <x:v>1</x:v>
      </x:c>
      <x:c r="I22" s="61" t="str">
        <x:v>complete_ranked_pair</x:v>
      </x:c>
      <x:c r="J22" s="22" t="str"/>
    </x:row>
    <x:row r="23">
      <x:c r="A23" s="61" t="str">
        <x:v>https://www.linkedin.com/posts/shettys-desk_who-carries-the-cost-when-the-work-runs-over-share-7477416658005917697-0Uwl</x:v>
      </x:c>
      <x:c r="B23" s="62" t="str">
        <x:v>2026-06-30</x:v>
      </x:c>
      <x:c r="C23" s="63" t="n">
        <x:v>8</x:v>
      </x:c>
      <x:c r="D23" s="63" t="n">
        <x:v>2782</x:v>
      </x:c>
      <x:c r="E23" s="64" t="b">
        <x:v>1</x:v>
      </x:c>
      <x:c r="F23" s="64" t="b">
        <x:v>1</x:v>
      </x:c>
      <x:c r="G23" s="64" t="b">
        <x:v>1</x:v>
      </x:c>
      <x:c r="H23" s="64" t="b">
        <x:v>1</x:v>
      </x:c>
      <x:c r="I23" s="61" t="str">
        <x:v>complete_ranked_pair</x:v>
      </x:c>
      <x:c r="J23" s="22" t="str"/>
    </x:row>
    <x:row r="24">
      <x:c r="A24" s="61" t="str">
        <x:v>https://www.linkedin.com/posts/shettys-desk_most-supply-chain-leaders-tracking-hormuz-share-7438223424088461312-Gm47</x:v>
      </x:c>
      <x:c r="B24" s="62" t="str">
        <x:v>2026-03-13</x:v>
      </x:c>
      <x:c r="C24" s="63" t="n">
        <x:v>9</x:v>
      </x:c>
      <x:c r="D24" s="63" t="n">
        <x:v>1374</x:v>
      </x:c>
      <x:c r="E24" s="64" t="b">
        <x:v>1</x:v>
      </x:c>
      <x:c r="F24" s="64" t="b">
        <x:v>1</x:v>
      </x:c>
      <x:c r="G24" s="64" t="b">
        <x:v>1</x:v>
      </x:c>
      <x:c r="H24" s="64" t="b">
        <x:v>1</x:v>
      </x:c>
      <x:c r="I24" s="61" t="str">
        <x:v>complete_ranked_pair</x:v>
      </x:c>
      <x:c r="J24" s="22" t="str"/>
    </x:row>
    <x:row r="25">
      <x:c r="A25" s="61" t="str">
        <x:v>https://www.linkedin.com/posts/shettys-desk_there-are-over-250-supply-chain-metrics-in-share-7448015009760137216-_cMD</x:v>
      </x:c>
      <x:c r="B25" s="62" t="str">
        <x:v>2026-04-10</x:v>
      </x:c>
      <x:c r="C25" s="63" t="n">
        <x:v>20</x:v>
      </x:c>
      <x:c r="D25" s="63" t="n">
        <x:v>1306</x:v>
      </x:c>
      <x:c r="E25" s="64" t="b">
        <x:v>1</x:v>
      </x:c>
      <x:c r="F25" s="64" t="b">
        <x:v>1</x:v>
      </x:c>
      <x:c r="G25" s="64" t="b">
        <x:v>1</x:v>
      </x:c>
      <x:c r="H25" s="64" t="b">
        <x:v>1</x:v>
      </x:c>
      <x:c r="I25" s="61" t="str">
        <x:v>complete_ranked_pair</x:v>
      </x:c>
      <x:c r="J25" s="22" t="str"/>
    </x:row>
    <x:row r="26">
      <x:c r="A26" s="61" t="str">
        <x:v>https://www.linkedin.com/posts/shettys-desk_you-dont-need-50-metrics-you-need-10-that-share-7456764519168614400-OrYf</x:v>
      </x:c>
      <x:c r="B26" s="62" t="str">
        <x:v>2026-05-13</x:v>
      </x:c>
      <x:c r="C26" s="63" t="n">
        <x:v>8</x:v>
      </x:c>
      <x:c r="D26" s="63" t="n">
        <x:v>1302</x:v>
      </x:c>
      <x:c r="E26" s="64" t="b">
        <x:v>1</x:v>
      </x:c>
      <x:c r="F26" s="64" t="b">
        <x:v>1</x:v>
      </x:c>
      <x:c r="G26" s="64" t="b">
        <x:v>1</x:v>
      </x:c>
      <x:c r="H26" s="64" t="b">
        <x:v>1</x:v>
      </x:c>
      <x:c r="I26" s="61" t="str">
        <x:v>complete_ranked_pair</x:v>
      </x:c>
      <x:c r="J26" s="22" t="str"/>
    </x:row>
    <x:row r="27">
      <x:c r="A27" s="61" t="str">
        <x:v>https://www.linkedin.com/posts/shettys-desk_why-does-your-supplier-say-6-weeks-but-the-share-7452009424467988480-QIwX</x:v>
      </x:c>
      <x:c r="B27" s="62" t="str">
        <x:v>2026-04-20</x:v>
      </x:c>
      <x:c r="C27" s="63" t="n">
        <x:v>19</x:v>
      </x:c>
      <x:c r="D27" s="63" t="n">
        <x:v>1237</x:v>
      </x:c>
      <x:c r="E27" s="64" t="b">
        <x:v>1</x:v>
      </x:c>
      <x:c r="F27" s="64" t="b">
        <x:v>1</x:v>
      </x:c>
      <x:c r="G27" s="64" t="b">
        <x:v>1</x:v>
      </x:c>
      <x:c r="H27" s="64" t="b">
        <x:v>1</x:v>
      </x:c>
      <x:c r="I27" s="61" t="str">
        <x:v>complete_ranked_pair</x:v>
      </x:c>
      <x:c r="J27" s="22" t="str"/>
    </x:row>
    <x:row r="28">
      <x:c r="A28" s="61" t="str">
        <x:v>https://www.linkedin.com/posts/shettys-desk_shettys-desk-01-ugcPost-7429930052156362753-Zva6</x:v>
      </x:c>
      <x:c r="B28" s="62" t="str">
        <x:v>2026-02-18</x:v>
      </x:c>
      <x:c r="C28" s="63" t="n">
        <x:v>42</x:v>
      </x:c>
      <x:c r="D28" s="63" t="n">
        <x:v>1124</x:v>
      </x:c>
      <x:c r="E28" s="64" t="b">
        <x:v>1</x:v>
      </x:c>
      <x:c r="F28" s="64" t="b">
        <x:v>1</x:v>
      </x:c>
      <x:c r="G28" s="64" t="b">
        <x:v>1</x:v>
      </x:c>
      <x:c r="H28" s="64" t="b">
        <x:v>1</x:v>
      </x:c>
      <x:c r="I28" s="61" t="str">
        <x:v>complete_ranked_pair</x:v>
      </x:c>
      <x:c r="J28" s="22" t="str"/>
    </x:row>
    <x:row r="29">
      <x:c r="A29" s="61" t="str">
        <x:v>https://www.linkedin.com/posts/shettys-desk_logistics-moves-it-supply-chain-decides-share-7439760364621275138-VNKA</x:v>
      </x:c>
      <x:c r="B29" s="62" t="str">
        <x:v>2026-03-18</x:v>
      </x:c>
      <x:c r="C29" s="63" t="n">
        <x:v>21</x:v>
      </x:c>
      <x:c r="D29" s="63" t="n">
        <x:v>994</x:v>
      </x:c>
      <x:c r="E29" s="64" t="b">
        <x:v>1</x:v>
      </x:c>
      <x:c r="F29" s="64" t="b">
        <x:v>1</x:v>
      </x:c>
      <x:c r="G29" s="64" t="b">
        <x:v>1</x:v>
      </x:c>
      <x:c r="H29" s="64" t="b">
        <x:v>1</x:v>
      </x:c>
      <x:c r="I29" s="61" t="str">
        <x:v>complete_ranked_pair</x:v>
      </x:c>
      <x:c r="J29" s="22" t="str"/>
    </x:row>
    <x:row r="30">
      <x:c r="A30" s="61" t="str">
        <x:v>https://www.linkedin.com/posts/shettys-desk_shettysdesk-supplychain-sportswear-share-7433165077865721856-E_tx</x:v>
      </x:c>
      <x:c r="B30" s="62" t="str">
        <x:v>2026-02-27</x:v>
      </x:c>
      <x:c r="C30" s="63" t="n">
        <x:v>10</x:v>
      </x:c>
      <x:c r="D30" s="63" t="n">
        <x:v>985</x:v>
      </x:c>
      <x:c r="E30" s="64" t="b">
        <x:v>1</x:v>
      </x:c>
      <x:c r="F30" s="64" t="b">
        <x:v>1</x:v>
      </x:c>
      <x:c r="G30" s="64" t="b">
        <x:v>1</x:v>
      </x:c>
      <x:c r="H30" s="64" t="b">
        <x:v>1</x:v>
      </x:c>
      <x:c r="I30" s="61" t="str">
        <x:v>complete_ranked_pair</x:v>
      </x:c>
      <x:c r="J30" s="22" t="str"/>
    </x:row>
    <x:row r="31">
      <x:c r="A31" s="61" t="str">
        <x:v>https://www.linkedin.com/posts/shettys-desk_shettysdesk-supplychain-fastfashion-share-7431614666331549696-TqC3</x:v>
      </x:c>
      <x:c r="B31" s="62" t="str">
        <x:v>2026-02-23</x:v>
      </x:c>
      <x:c r="C31" s="63" t="n">
        <x:v>19</x:v>
      </x:c>
      <x:c r="D31" s="63" t="n">
        <x:v>815</x:v>
      </x:c>
      <x:c r="E31" s="64" t="b">
        <x:v>1</x:v>
      </x:c>
      <x:c r="F31" s="64" t="b">
        <x:v>1</x:v>
      </x:c>
      <x:c r="G31" s="64" t="b">
        <x:v>1</x:v>
      </x:c>
      <x:c r="H31" s="64" t="b">
        <x:v>1</x:v>
      </x:c>
      <x:c r="I31" s="61" t="str">
        <x:v>complete_ranked_pair</x:v>
      </x:c>
      <x:c r="J31" s="22" t="str"/>
    </x:row>
    <x:row r="32">
      <x:c r="A32" s="61" t="str">
        <x:v>https://www.linkedin.com/posts/shettys-desk_sales-says-well-sell-10000-units-operations-share-7444759031249780737-zeE5</x:v>
      </x:c>
      <x:c r="B32" s="62" t="str">
        <x:v>2026-03-31</x:v>
      </x:c>
      <x:c r="C32" s="63" t="n">
        <x:v>15</x:v>
      </x:c>
      <x:c r="D32" s="63" t="n">
        <x:v>741</x:v>
      </x:c>
      <x:c r="E32" s="64" t="b">
        <x:v>1</x:v>
      </x:c>
      <x:c r="F32" s="64" t="b">
        <x:v>1</x:v>
      </x:c>
      <x:c r="G32" s="64" t="b">
        <x:v>1</x:v>
      </x:c>
      <x:c r="H32" s="64" t="b">
        <x:v>1</x:v>
      </x:c>
      <x:c r="I32" s="61" t="str">
        <x:v>complete_ranked_pair</x:v>
      </x:c>
      <x:c r="J32" s="22" t="str"/>
    </x:row>
    <x:row r="33">
      <x:c r="A33" s="61" t="str">
        <x:v>https://www.linkedin.com/posts/shettys-desk_february-28-2026-us-israeli-strikes-on-share-7434332528561295360-djrt</x:v>
      </x:c>
      <x:c r="B33" s="62" t="str">
        <x:v>2026-03-02</x:v>
      </x:c>
      <x:c r="C33" s="63" t="n">
        <x:v>19</x:v>
      </x:c>
      <x:c r="D33" s="63" t="n">
        <x:v>732</x:v>
      </x:c>
      <x:c r="E33" s="64" t="b">
        <x:v>1</x:v>
      </x:c>
      <x:c r="F33" s="64" t="b">
        <x:v>1</x:v>
      </x:c>
      <x:c r="G33" s="64" t="b">
        <x:v>1</x:v>
      </x:c>
      <x:c r="H33" s="64" t="b">
        <x:v>1</x:v>
      </x:c>
      <x:c r="I33" s="61" t="str">
        <x:v>complete_ranked_pair</x:v>
      </x:c>
      <x:c r="J33" s="22" t="str"/>
    </x:row>
    <x:row r="34">
      <x:c r="A34" s="61" t="str">
        <x:v>https://www.linkedin.com/posts/shettys-desk_6-links-1-product-if-any-single-one-fails-share-7437542693171396608-_JgN</x:v>
      </x:c>
      <x:c r="B34" s="62" t="str">
        <x:v>2026-03-11</x:v>
      </x:c>
      <x:c r="C34" s="63" t="n">
        <x:v>13</x:v>
      </x:c>
      <x:c r="D34" s="63" t="n">
        <x:v>670</x:v>
      </x:c>
      <x:c r="E34" s="64" t="b">
        <x:v>1</x:v>
      </x:c>
      <x:c r="F34" s="64" t="b">
        <x:v>1</x:v>
      </x:c>
      <x:c r="G34" s="64" t="b">
        <x:v>1</x:v>
      </x:c>
      <x:c r="H34" s="64" t="b">
        <x:v>1</x:v>
      </x:c>
      <x:c r="I34" s="61" t="str">
        <x:v>complete_ranked_pair</x:v>
      </x:c>
      <x:c r="J34" s="22" t="str"/>
    </x:row>
    <x:row r="35">
      <x:c r="A35" s="61" t="str">
        <x:v>https://www.linkedin.com/posts/shettys-desk_the-closer-a-requirement-gets-to-the-factory-share-7482614954337009664-_ieT</x:v>
      </x:c>
      <x:c r="B35" s="62" t="str">
        <x:v>2026-07-14</x:v>
      </x:c>
      <x:c r="C35" s="63" t="n">
        <x:v>13</x:v>
      </x:c>
      <x:c r="D35" s="63" t="n">
        <x:v>643</x:v>
      </x:c>
      <x:c r="E35" s="64" t="b">
        <x:v>1</x:v>
      </x:c>
      <x:c r="F35" s="64" t="b">
        <x:v>1</x:v>
      </x:c>
      <x:c r="G35" s="64" t="b">
        <x:v>1</x:v>
      </x:c>
      <x:c r="H35" s="64" t="b">
        <x:v>0</x:v>
      </x:c>
      <x:c r="I35" s="61" t="str">
        <x:v>complete_ranked_pair</x:v>
      </x:c>
      <x:c r="J35" s="22" t="str"/>
    </x:row>
    <x:row r="36">
      <x:c r="A36" s="61" t="str">
        <x:v>https://www.linkedin.com/posts/shettys-desk_a-standard-rfq-takes-2-to-3-days-to-write-share-7467587214928019456-kWA3</x:v>
      </x:c>
      <x:c r="B36" s="62" t="str">
        <x:v>2026-06-02</x:v>
      </x:c>
      <x:c r="C36" s="63" t="n">
        <x:v>12</x:v>
      </x:c>
      <x:c r="D36" s="63" t="n">
        <x:v>640</x:v>
      </x:c>
      <x:c r="E36" s="64" t="b">
        <x:v>1</x:v>
      </x:c>
      <x:c r="F36" s="64" t="b">
        <x:v>1</x:v>
      </x:c>
      <x:c r="G36" s="64" t="b">
        <x:v>1</x:v>
      </x:c>
      <x:c r="H36" s="64" t="b">
        <x:v>1</x:v>
      </x:c>
      <x:c r="I36" s="61" t="str">
        <x:v>complete_ranked_pair</x:v>
      </x:c>
      <x:c r="J36" s="22" t="str"/>
    </x:row>
    <x:row r="37">
      <x:c r="A37" s="61" t="str">
        <x:v>https://www.linkedin.com/posts/shettys-desk_shettysdesk-supplychain-failproof-share-7433889769698344960-rnl_</x:v>
      </x:c>
      <x:c r="B37" s="62" t="str">
        <x:v>2026-03-01</x:v>
      </x:c>
      <x:c r="C37" s="63" t="n">
        <x:v>17</x:v>
      </x:c>
      <x:c r="D37" s="63" t="n">
        <x:v>621</x:v>
      </x:c>
      <x:c r="E37" s="64" t="b">
        <x:v>1</x:v>
      </x:c>
      <x:c r="F37" s="64" t="b">
        <x:v>1</x:v>
      </x:c>
      <x:c r="G37" s="64" t="b">
        <x:v>1</x:v>
      </x:c>
      <x:c r="H37" s="64" t="b">
        <x:v>1</x:v>
      </x:c>
      <x:c r="I37" s="61" t="str">
        <x:v>complete_ranked_pair</x:v>
      </x:c>
      <x:c r="J37" s="22" t="str"/>
    </x:row>
    <x:row r="38">
      <x:c r="A38" s="61" t="str">
        <x:v>https://www.linkedin.com/posts/shettys-desk_glp-1-distribution-crisis-ugcPost-7431301006409330688-Ppru</x:v>
      </x:c>
      <x:c r="B38" s="62" t="str">
        <x:v>2026-02-25</x:v>
      </x:c>
      <x:c r="C38" s="63" t="n">
        <x:v>10</x:v>
      </x:c>
      <x:c r="D38" s="63" t="n">
        <x:v>589</x:v>
      </x:c>
      <x:c r="E38" s="64" t="b">
        <x:v>1</x:v>
      </x:c>
      <x:c r="F38" s="64" t="b">
        <x:v>1</x:v>
      </x:c>
      <x:c r="G38" s="64" t="b">
        <x:v>1</x:v>
      </x:c>
      <x:c r="H38" s="64" t="b">
        <x:v>1</x:v>
      </x:c>
      <x:c r="I38" s="61" t="str">
        <x:v>complete_ranked_pair</x:v>
      </x:c>
      <x:c r="J38" s="22" t="str"/>
    </x:row>
    <x:row r="39">
      <x:c r="A39" s="61" t="str">
        <x:v>https://www.linkedin.com/posts/shettys-desk_why-does-everyone-know-which-supplier-is-share-7464702975203225600-zlHY</x:v>
      </x:c>
      <x:c r="B39" s="62" t="str">
        <x:v>2026-05-25</x:v>
      </x:c>
      <x:c r="C39" s="63" t="n">
        <x:v>7</x:v>
      </x:c>
      <x:c r="D39" s="63" t="n">
        <x:v>576</x:v>
      </x:c>
      <x:c r="E39" s="64" t="b">
        <x:v>1</x:v>
      </x:c>
      <x:c r="F39" s="64" t="b">
        <x:v>1</x:v>
      </x:c>
      <x:c r="G39" s="64" t="b">
        <x:v>1</x:v>
      </x:c>
      <x:c r="H39" s="64" t="b">
        <x:v>1</x:v>
      </x:c>
      <x:c r="I39" s="61" t="str">
        <x:v>complete_ranked_pair</x:v>
      </x:c>
      <x:c r="J39" s="22" t="str"/>
    </x:row>
    <x:row r="40">
      <x:c r="A40" s="61" t="str">
        <x:v>https://www.linkedin.com/posts/shettys-desk_total-landed-cost-tariffs-ugcPost-7435606262056361984-BHQ_</x:v>
      </x:c>
      <x:c r="B40" s="62" t="str">
        <x:v>2026-03-06</x:v>
      </x:c>
      <x:c r="C40" s="63" t="n">
        <x:v>3</x:v>
      </x:c>
      <x:c r="D40" s="63" t="n">
        <x:v>557</x:v>
      </x:c>
      <x:c r="E40" s="64" t="b">
        <x:v>1</x:v>
      </x:c>
      <x:c r="F40" s="64" t="b">
        <x:v>1</x:v>
      </x:c>
      <x:c r="G40" s="64" t="b">
        <x:v>1</x:v>
      </x:c>
      <x:c r="H40" s="64" t="b">
        <x:v>1</x:v>
      </x:c>
      <x:c r="I40" s="61" t="str">
        <x:v>complete_ranked_pair</x:v>
      </x:c>
      <x:c r="J40" s="22" t="str"/>
    </x:row>
    <x:row r="41">
      <x:c r="A41" s="61" t="str">
        <x:v>https://www.linkedin.com/posts/shettys-desk_every-time-a-delivery-gets-missed-where-i-share-7442640580062412800-8nrr</x:v>
      </x:c>
      <x:c r="B41" s="62" t="str">
        <x:v>2026-03-25</x:v>
      </x:c>
      <x:c r="C41" s="63" t="n">
        <x:v>15</x:v>
      </x:c>
      <x:c r="D41" s="63" t="n">
        <x:v>527</x:v>
      </x:c>
      <x:c r="E41" s="64" t="b">
        <x:v>1</x:v>
      </x:c>
      <x:c r="F41" s="64" t="b">
        <x:v>1</x:v>
      </x:c>
      <x:c r="G41" s="64" t="b">
        <x:v>1</x:v>
      </x:c>
      <x:c r="H41" s="64" t="b">
        <x:v>1</x:v>
      </x:c>
      <x:c r="I41" s="61" t="str">
        <x:v>complete_ranked_pair</x:v>
      </x:c>
      <x:c r="J41" s="22" t="str"/>
    </x:row>
    <x:row r="42">
      <x:c r="A42" s="61" t="str">
        <x:v>https://www.linkedin.com/posts/shettys-desk_just-in-time-was-the-greatest-supply-chain-share-7450492405012803584-YgZA</x:v>
      </x:c>
      <x:c r="B42" s="62" t="str">
        <x:v>2026-05-04</x:v>
      </x:c>
      <x:c r="C42" s="63" t="n">
        <x:v>11</x:v>
      </x:c>
      <x:c r="D42" s="63" t="n">
        <x:v>527</x:v>
      </x:c>
      <x:c r="E42" s="64" t="b">
        <x:v>1</x:v>
      </x:c>
      <x:c r="F42" s="64" t="b">
        <x:v>1</x:v>
      </x:c>
      <x:c r="G42" s="64" t="b">
        <x:v>1</x:v>
      </x:c>
      <x:c r="H42" s="64" t="b">
        <x:v>1</x:v>
      </x:c>
      <x:c r="I42" s="61" t="str">
        <x:v>complete_ranked_pair</x:v>
      </x:c>
      <x:c r="J42" s="22" t="str"/>
    </x:row>
    <x:row r="43">
      <x:c r="A43" s="61" t="str">
        <x:v>https://www.linkedin.com/posts/shettys-desk_supply-chain-leaders-who-cant-talk-in-o2c-share-7456757750463733760-xIBr</x:v>
      </x:c>
      <x:c r="B43" s="62" t="str">
        <x:v>2026-05-11</x:v>
      </x:c>
      <x:c r="C43" s="63" t="n">
        <x:v>5</x:v>
      </x:c>
      <x:c r="D43" s="63" t="n">
        <x:v>524</x:v>
      </x:c>
      <x:c r="E43" s="64" t="b">
        <x:v>1</x:v>
      </x:c>
      <x:c r="F43" s="64" t="b">
        <x:v>1</x:v>
      </x:c>
      <x:c r="G43" s="64" t="b">
        <x:v>1</x:v>
      </x:c>
      <x:c r="H43" s="64" t="b">
        <x:v>1</x:v>
      </x:c>
      <x:c r="I43" s="61" t="str">
        <x:v>complete_ranked_pair</x:v>
      </x:c>
      <x:c r="J43" s="22" t="str"/>
    </x:row>
    <x:row r="44">
      <x:c r="A44" s="61" t="str">
        <x:v>https://www.linkedin.com/posts/shettys-desk_how-do-you-buy-a-car-procurement-is-share-7449324847811280896-67YM</x:v>
      </x:c>
      <x:c r="B44" s="62" t="str">
        <x:v>2026-04-13</x:v>
      </x:c>
      <x:c r="C44" s="63" t="n">
        <x:v>10</x:v>
      </x:c>
      <x:c r="D44" s="63" t="n">
        <x:v>492</x:v>
      </x:c>
      <x:c r="E44" s="64" t="b">
        <x:v>1</x:v>
      </x:c>
      <x:c r="F44" s="64" t="b">
        <x:v>1</x:v>
      </x:c>
      <x:c r="G44" s="64" t="b">
        <x:v>1</x:v>
      </x:c>
      <x:c r="H44" s="64" t="b">
        <x:v>1</x:v>
      </x:c>
      <x:c r="I44" s="61" t="str">
        <x:v>complete_ranked_pair</x:v>
      </x:c>
      <x:c r="J44" s="22" t="str"/>
    </x:row>
    <x:row r="45">
      <x:c r="A45" s="61" t="str">
        <x:v>https://www.linkedin.com/posts/shettys-desk_why-did-your-company-choose-the-cheapest-share-7450227654223650816-Q1Q0</x:v>
      </x:c>
      <x:c r="B45" s="62" t="str">
        <x:v>2026-04-24</x:v>
      </x:c>
      <x:c r="C45" s="63" t="n">
        <x:v>5</x:v>
      </x:c>
      <x:c r="D45" s="63" t="n">
        <x:v>456</x:v>
      </x:c>
      <x:c r="E45" s="64" t="b">
        <x:v>1</x:v>
      </x:c>
      <x:c r="F45" s="64" t="b">
        <x:v>1</x:v>
      </x:c>
      <x:c r="G45" s="64" t="b">
        <x:v>1</x:v>
      </x:c>
      <x:c r="H45" s="64" t="b">
        <x:v>1</x:v>
      </x:c>
      <x:c r="I45" s="61" t="str">
        <x:v>complete_ranked_pair</x:v>
      </x:c>
      <x:c r="J45" s="22" t="str"/>
    </x:row>
    <x:row r="46">
      <x:c r="A46" s="61" t="str">
        <x:v>https://www.linkedin.com/posts/shettys-desk_the-answer-to-a-bad-forecast-isnt-a-better-share-7450243660220211200-X2G3</x:v>
      </x:c>
      <x:c r="B46" s="62" t="str">
        <x:v>2026-04-29</x:v>
      </x:c>
      <x:c r="C46" s="63" t="n">
        <x:v>3</x:v>
      </x:c>
      <x:c r="D46" s="63" t="n">
        <x:v>435</x:v>
      </x:c>
      <x:c r="E46" s="64" t="b">
        <x:v>1</x:v>
      </x:c>
      <x:c r="F46" s="64" t="b">
        <x:v>1</x:v>
      </x:c>
      <x:c r="G46" s="64" t="b">
        <x:v>1</x:v>
      </x:c>
      <x:c r="H46" s="64" t="b">
        <x:v>1</x:v>
      </x:c>
      <x:c r="I46" s="61" t="str">
        <x:v>complete_ranked_pair</x:v>
      </x:c>
      <x:c r="J46" s="22" t="str"/>
    </x:row>
    <x:row r="47">
      <x:c r="A47" s="61" t="str">
        <x:v>https://www.linkedin.com/posts/shettys-desk_96-of-dry-cargo-containers-100-of-refrigerated-share-7433624509422657536-N1PF</x:v>
      </x:c>
      <x:c r="B47" s="62" t="str">
        <x:v>2026-03-04</x:v>
      </x:c>
      <x:c r="C47" s="63" t="n">
        <x:v>10</x:v>
      </x:c>
      <x:c r="D47" s="63" t="n">
        <x:v>426</x:v>
      </x:c>
      <x:c r="E47" s="64" t="b">
        <x:v>1</x:v>
      </x:c>
      <x:c r="F47" s="64" t="b">
        <x:v>1</x:v>
      </x:c>
      <x:c r="G47" s="64" t="b">
        <x:v>1</x:v>
      </x:c>
      <x:c r="H47" s="64" t="b">
        <x:v>1</x:v>
      </x:c>
      <x:c r="I47" s="61" t="str">
        <x:v>complete_ranked_pair</x:v>
      </x:c>
      <x:c r="J47" s="22" t="str"/>
    </x:row>
    <x:row r="48">
      <x:c r="A48" s="61" t="str">
        <x:v>https://www.linkedin.com/posts/shettys-desk_in-under-2-seconds-22-humans-execute-80-share-7441926268884946945-oiMq</x:v>
      </x:c>
      <x:c r="B48" s="62" t="str">
        <x:v>2026-03-23</x:v>
      </x:c>
      <x:c r="C48" s="63" t="n">
        <x:v>5</x:v>
      </x:c>
      <x:c r="D48" s="63" t="n">
        <x:v>385</x:v>
      </x:c>
      <x:c r="E48" s="64" t="b">
        <x:v>1</x:v>
      </x:c>
      <x:c r="F48" s="64" t="b">
        <x:v>1</x:v>
      </x:c>
      <x:c r="G48" s="64" t="b">
        <x:v>1</x:v>
      </x:c>
      <x:c r="H48" s="64" t="b">
        <x:v>1</x:v>
      </x:c>
      <x:c r="I48" s="61" t="str">
        <x:v>complete_ranked_pair</x:v>
      </x:c>
      <x:c r="J48" s="22" t="str"/>
    </x:row>
    <x:row r="49">
      <x:c r="A49" s="61" t="str">
        <x:v>https://www.linkedin.com/posts/shettys-desk_a-po-is-not-a-document-it-is-a-legal-commitment-share-7464742586277310465-2hP3</x:v>
      </x:c>
      <x:c r="B49" s="62" t="str">
        <x:v>2026-05-26</x:v>
      </x:c>
      <x:c r="C49" s="63" t="n">
        <x:v>7</x:v>
      </x:c>
      <x:c r="D49" s="63" t="n">
        <x:v>380</x:v>
      </x:c>
      <x:c r="E49" s="64" t="b">
        <x:v>1</x:v>
      </x:c>
      <x:c r="F49" s="64" t="b">
        <x:v>1</x:v>
      </x:c>
      <x:c r="G49" s="64" t="b">
        <x:v>1</x:v>
      </x:c>
      <x:c r="H49" s="64" t="b">
        <x:v>1</x:v>
      </x:c>
      <x:c r="I49" s="61" t="str">
        <x:v>complete_ranked_pair</x:v>
      </x:c>
      <x:c r="J49" s="22" t="str"/>
    </x:row>
    <x:row r="50">
      <x:c r="A50" s="61" t="str">
        <x:v>https://www.linkedin.com/posts/shettys-desk_a-5-increase-in-consumer-demand-can-become-share-7449341424984096769-qcc0</x:v>
      </x:c>
      <x:c r="B50" s="62" t="str">
        <x:v>2026-04-15</x:v>
      </x:c>
      <x:c r="C50" s="63" t="n">
        <x:v>5</x:v>
      </x:c>
      <x:c r="D50" s="63" t="n">
        <x:v>359</x:v>
      </x:c>
      <x:c r="E50" s="64" t="b">
        <x:v>1</x:v>
      </x:c>
      <x:c r="F50" s="64" t="b">
        <x:v>1</x:v>
      </x:c>
      <x:c r="G50" s="64" t="b">
        <x:v>1</x:v>
      </x:c>
      <x:c r="H50" s="64" t="b">
        <x:v>1</x:v>
      </x:c>
      <x:c r="I50" s="61" t="str">
        <x:v>complete_ranked_pair</x:v>
      </x:c>
      <x:c r="J50" s="22" t="str"/>
    </x:row>
    <x:row r="51">
      <x:c r="A51" s="61" t="str">
        <x:v>https://www.linkedin.com/posts/shettys-desk_why-does-the-team-buying-raw-materials-for-share-7449332864459968512-Cy_B</x:v>
      </x:c>
      <x:c r="B51" s="62" t="str">
        <x:v>2026-04-14</x:v>
      </x:c>
      <x:c r="C51" s="63" t="n">
        <x:v>7</x:v>
      </x:c>
      <x:c r="D51" s="63" t="n">
        <x:v>358</x:v>
      </x:c>
      <x:c r="E51" s="64" t="b">
        <x:v>1</x:v>
      </x:c>
      <x:c r="F51" s="64" t="b">
        <x:v>1</x:v>
      </x:c>
      <x:c r="G51" s="64" t="b">
        <x:v>1</x:v>
      </x:c>
      <x:c r="H51" s="64" t="b">
        <x:v>1</x:v>
      </x:c>
      <x:c r="I51" s="61" t="str">
        <x:v>complete_ranked_pair</x:v>
      </x:c>
      <x:c r="J51" s="22" t="str"/>
    </x:row>
    <x:row r="52">
      <x:c r="A52" s="61" t="str">
        <x:v>https://www.linkedin.com/posts/shettys-desk_how-does-a-list-of-100-potential-suppliers-share-7466933931616051200-eu4V</x:v>
      </x:c>
      <x:c r="B52" s="62" t="str">
        <x:v>2026-06-01</x:v>
      </x:c>
      <x:c r="C52" s="63" t="n">
        <x:v>5</x:v>
      </x:c>
      <x:c r="D52" s="63" t="n">
        <x:v>341</x:v>
      </x:c>
      <x:c r="E52" s="64" t="b">
        <x:v>1</x:v>
      </x:c>
      <x:c r="F52" s="64" t="b">
        <x:v>1</x:v>
      </x:c>
      <x:c r="G52" s="64" t="b">
        <x:v>1</x:v>
      </x:c>
      <x:c r="H52" s="64" t="b">
        <x:v>1</x:v>
      </x:c>
      <x:c r="I52" s="61" t="str">
        <x:v>complete_ranked_pair</x:v>
      </x:c>
      <x:c r="J52" s="22" t="str"/>
    </x:row>
    <x:row r="53">
      <x:c r="A53" s="61" t="str">
        <x:v>https://www.linkedin.com/posts/shettys-desk_why-did-some-companies-recover-from-2020-share-7456635027943071744-eebi</x:v>
      </x:c>
      <x:c r="B53" s="62" t="str">
        <x:v>2026-05-08</x:v>
      </x:c>
      <x:c r="C53" s="63" t="n">
        <x:v>2</x:v>
      </x:c>
      <x:c r="D53" s="63" t="n">
        <x:v>331</x:v>
      </x:c>
      <x:c r="E53" s="64" t="b">
        <x:v>1</x:v>
      </x:c>
      <x:c r="F53" s="64" t="b">
        <x:v>1</x:v>
      </x:c>
      <x:c r="G53" s="64" t="b">
        <x:v>1</x:v>
      </x:c>
      <x:c r="H53" s="64" t="b">
        <x:v>1</x:v>
      </x:c>
      <x:c r="I53" s="61" t="str">
        <x:v>complete_ranked_pair</x:v>
      </x:c>
      <x:c r="J53" s="22" t="str"/>
    </x:row>
    <x:row r="54">
      <x:c r="A54" s="61" t="str">
        <x:v>https://www.linkedin.com/posts/shettys-desk_why-does-ikea-build-millions-of-bookshelves-share-7446461422336675840-0JTX</x:v>
      </x:c>
      <x:c r="B54" s="62" t="str">
        <x:v>2026-04-06</x:v>
      </x:c>
      <x:c r="C54" s="63" t="n">
        <x:v>6</x:v>
      </x:c>
      <x:c r="D54" s="63" t="n">
        <x:v>319</x:v>
      </x:c>
      <x:c r="E54" s="64" t="b">
        <x:v>1</x:v>
      </x:c>
      <x:c r="F54" s="64" t="b">
        <x:v>1</x:v>
      </x:c>
      <x:c r="G54" s="64" t="b">
        <x:v>1</x:v>
      </x:c>
      <x:c r="H54" s="64" t="b">
        <x:v>1</x:v>
      </x:c>
      <x:c r="I54" s="61" t="str">
        <x:v>complete_ranked_pair</x:v>
      </x:c>
      <x:c r="J54" s="22" t="str"/>
    </x:row>
    <x:row r="55">
      <x:c r="A55" s="61" t="str">
        <x:v>https://www.linkedin.com/posts/shettys-desk_single-sourcing-gives-you-leverage-through-share-7450501943346741249-_s1Y</x:v>
      </x:c>
      <x:c r="B55" s="62" t="str">
        <x:v>2026-05-06</x:v>
      </x:c>
      <x:c r="C55" s="63" t="n">
        <x:v>1</x:v>
      </x:c>
      <x:c r="D55" s="63" t="n">
        <x:v>282</x:v>
      </x:c>
      <x:c r="E55" s="64" t="b">
        <x:v>1</x:v>
      </x:c>
      <x:c r="F55" s="64" t="b">
        <x:v>1</x:v>
      </x:c>
      <x:c r="G55" s="64" t="b">
        <x:v>1</x:v>
      </x:c>
      <x:c r="H55" s="64" t="b">
        <x:v>1</x:v>
      </x:c>
      <x:c r="I55" s="61" t="str">
        <x:v>complete_ranked_pair</x:v>
      </x:c>
      <x:c r="J55" s="22" t="str"/>
    </x:row>
    <x:row r="56">
      <x:c r="A56" s="61" t="str">
        <x:v>https://www.linkedin.com/posts/shettys-desk_roughly-60-of-a-typical-planners-week-is-share-7440818641022935041-uQx7</x:v>
      </x:c>
      <x:c r="B56" s="62" t="str">
        <x:v>2026-03-20</x:v>
      </x:c>
      <x:c r="C56" s="63" t="n">
        <x:v>13</x:v>
      </x:c>
      <x:c r="D56" s="63" t="n">
        <x:v>275</x:v>
      </x:c>
      <x:c r="E56" s="64" t="b">
        <x:v>1</x:v>
      </x:c>
      <x:c r="F56" s="64" t="b">
        <x:v>1</x:v>
      </x:c>
      <x:c r="G56" s="64" t="b">
        <x:v>1</x:v>
      </x:c>
      <x:c r="H56" s="64" t="b">
        <x:v>1</x:v>
      </x:c>
      <x:c r="I56" s="61" t="str">
        <x:v>complete_ranked_pair</x:v>
      </x:c>
      <x:c r="J56" s="22" t="str"/>
    </x:row>
    <x:row r="57">
      <x:c r="A57" s="61" t="str">
        <x:v>https://www.linkedin.com/posts/shettys-desk_offshoring-saves-money-on-labour-nearshoring-share-7450453708083208192-lF9U</x:v>
      </x:c>
      <x:c r="B57" s="62" t="str">
        <x:v>2026-05-01</x:v>
      </x:c>
      <x:c r="C57" s="63" t="n">
        <x:v>3</x:v>
      </x:c>
      <x:c r="D57" s="63" t="n">
        <x:v>271</x:v>
      </x:c>
      <x:c r="E57" s="64" t="b">
        <x:v>1</x:v>
      </x:c>
      <x:c r="F57" s="64" t="b">
        <x:v>1</x:v>
      </x:c>
      <x:c r="G57" s="64" t="b">
        <x:v>1</x:v>
      </x:c>
      <x:c r="H57" s="64" t="b">
        <x:v>1</x:v>
      </x:c>
      <x:c r="I57" s="61" t="str">
        <x:v>complete_ranked_pair</x:v>
      </x:c>
      <x:c r="J57" s="22" t="str"/>
    </x:row>
    <x:row r="58">
      <x:c r="A58" s="61" t="str">
        <x:v>https://www.linkedin.com/posts/shettys-desk_every-supply-chain-professional-you-probably-share-7443339947656503297-9TV6</x:v>
      </x:c>
      <x:c r="B58" s="62" t="str">
        <x:v>2026-03-27</x:v>
      </x:c>
      <x:c r="C58" s="63" t="n">
        <x:v>4</x:v>
      </x:c>
      <x:c r="D58" s="63" t="n">
        <x:v>258</x:v>
      </x:c>
      <x:c r="E58" s="64" t="b">
        <x:v>1</x:v>
      </x:c>
      <x:c r="F58" s="64" t="b">
        <x:v>1</x:v>
      </x:c>
      <x:c r="G58" s="64" t="b">
        <x:v>1</x:v>
      </x:c>
      <x:c r="H58" s="64" t="b">
        <x:v>1</x:v>
      </x:c>
      <x:c r="I58" s="61" t="str">
        <x:v>complete_ranked_pair</x:v>
      </x:c>
      <x:c r="J58" s="22" t="str"/>
    </x:row>
    <x:row r="59">
      <x:c r="A59" s="61" t="str">
        <x:v>https://www.linkedin.com/posts/shettys-desk_every-procurement-team-has-a-process-although-share-7469497854856724481-f9Pg</x:v>
      </x:c>
      <x:c r="B59" s="62" t="str">
        <x:v>2026-06-09</x:v>
      </x:c>
      <x:c r="C59" s="63" t="n">
        <x:v>4</x:v>
      </x:c>
      <x:c r="D59" s="63" t="n">
        <x:v>247</x:v>
      </x:c>
      <x:c r="E59" s="64" t="b">
        <x:v>1</x:v>
      </x:c>
      <x:c r="F59" s="64" t="b">
        <x:v>1</x:v>
      </x:c>
      <x:c r="G59" s="64" t="b">
        <x:v>1</x:v>
      </x:c>
      <x:c r="H59" s="64" t="b">
        <x:v>1</x:v>
      </x:c>
      <x:c r="I59" s="61" t="str">
        <x:v>complete_ranked_pair</x:v>
      </x:c>
      <x:c r="J59" s="22" t="str"/>
    </x:row>
    <x:row r="60">
      <x:c r="A60" s="61" t="str">
        <x:v>https://www.linkedin.com/posts/shettys-desk_your-suppliers-price-increase-lands-on-your-share-7469706901480697856-IdCA</x:v>
      </x:c>
      <x:c r="B60" s="62" t="str">
        <x:v>2026-06-08</x:v>
      </x:c>
      <x:c r="C60" s="63" t="n">
        <x:v>4</x:v>
      </x:c>
      <x:c r="D60" s="63" t="n">
        <x:v>244</x:v>
      </x:c>
      <x:c r="E60" s="64" t="b">
        <x:v>1</x:v>
      </x:c>
      <x:c r="F60" s="64" t="b">
        <x:v>1</x:v>
      </x:c>
      <x:c r="G60" s="64" t="b">
        <x:v>1</x:v>
      </x:c>
      <x:c r="H60" s="64" t="b">
        <x:v>1</x:v>
      </x:c>
      <x:c r="I60" s="61" t="str">
        <x:v>complete_ranked_pair</x:v>
      </x:c>
      <x:c r="J60" s="22" t="str"/>
    </x:row>
    <x:row r="61">
      <x:c r="A61" s="61" t="str">
        <x:v>https://www.linkedin.com/posts/shettys-desk_a-supplier-wants-9-before-the-meeting-share-7474898147920666624-UdeR</x:v>
      </x:c>
      <x:c r="B61" s="62" t="str">
        <x:v>2026-06-26</x:v>
      </x:c>
      <x:c r="C61" s="63" t="n">
        <x:v>5</x:v>
      </x:c>
      <x:c r="D61" s="63" t="n">
        <x:v>202</x:v>
      </x:c>
      <x:c r="E61" s="64" t="b">
        <x:v>1</x:v>
      </x:c>
      <x:c r="F61" s="64" t="b">
        <x:v>1</x:v>
      </x:c>
      <x:c r="G61" s="64" t="b">
        <x:v>1</x:v>
      </x:c>
      <x:c r="H61" s="64" t="b">
        <x:v>1</x:v>
      </x:c>
      <x:c r="I61" s="61" t="str">
        <x:v>complete_ranked_pair</x:v>
      </x:c>
      <x:c r="J61" s="22" t="str"/>
    </x:row>
    <x:row r="62">
      <x:c r="A62" s="61" t="str">
        <x:v>https://www.linkedin.com/posts/shettys-desk_how-do-you-run-a-supplier-qbr-when-the-scorecard-share-7474893060938752000-YFTN</x:v>
      </x:c>
      <x:c r="B62" s="62" t="str">
        <x:v>2026-06-25</x:v>
      </x:c>
      <x:c r="C62" s="63" t="n">
        <x:v>2</x:v>
      </x:c>
      <x:c r="D62" s="63" t="n">
        <x:v>195</x:v>
      </x:c>
      <x:c r="E62" s="64" t="b">
        <x:v>1</x:v>
      </x:c>
      <x:c r="F62" s="64" t="b">
        <x:v>1</x:v>
      </x:c>
      <x:c r="G62" s="64" t="b">
        <x:v>1</x:v>
      </x:c>
      <x:c r="H62" s="64" t="b">
        <x:v>1</x:v>
      </x:c>
      <x:c r="I62" s="61" t="str">
        <x:v>complete_ranked_pair</x:v>
      </x:c>
      <x:c r="J62" s="22" t="str"/>
    </x:row>
    <x:row r="63">
      <x:c r="A63" s="61" t="str">
        <x:v>https://www.linkedin.com/posts/shettys-desk_when-demand-moves-the-first-question-should-share-7479906356238680064-u01V</x:v>
      </x:c>
      <x:c r="B63" s="62" t="str">
        <x:v>2026-07-06</x:v>
      </x:c>
      <x:c r="C63" s="63" t="n">
        <x:v>7</x:v>
      </x:c>
      <x:c r="D63" s="63" t="n">
        <x:v>167</x:v>
      </x:c>
      <x:c r="E63" s="64" t="b">
        <x:v>1</x:v>
      </x:c>
      <x:c r="F63" s="64" t="b">
        <x:v>1</x:v>
      </x:c>
      <x:c r="G63" s="64" t="b">
        <x:v>1</x:v>
      </x:c>
      <x:c r="H63" s="64" t="b">
        <x:v>1</x:v>
      </x:c>
      <x:c r="I63" s="61" t="str">
        <x:v>complete_ranked_pair</x:v>
      </x:c>
      <x:c r="J63" s="22" t="str"/>
    </x:row>
  </x:sheetData>
  <x:mergeCells>
    <x:mergeCell ref="A1:J1"/>
    <x:mergeCell ref="D3:J3"/>
    <x:mergeCell ref="D4:J9"/>
    <x:mergeCell ref="D10:J11"/>
  </x:mergeCells>
  <x:conditionalFormatting sqref="I14:I63">
    <x:cfRule type="containsText" dxfId="3" priority="1" operator="containsText" text="complete"/>
    <x:cfRule type="containsText" dxfId="4" priority="2" operator="containsText" text="partial"/>
  </x:conditionalFormatting>
  <x:pageMargins left="0.7" right="0.7" top="0.75" bottom="0.75" header="0.3" footer="0.3"/>
  <x:tableParts count="1">
    <x:tablePart xmlns:r="http://schemas.openxmlformats.org/officeDocument/2006/relationships" r:id="R98f01e8b080946f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24" hidden="0" customWidth="1"/>
  </x:cols>
  <x:sheetData>
    <x:row r="1" ht="34" customHeight="1">
      <x:c r="A1" s="3" t="str">
        <x:v>Tiger Daily — Reach and Audience Movement</x:v>
      </x:c>
      <x:c r="B1" s="3"/>
      <x:c r="C1" s="3"/>
      <x:c r="D1" s="3"/>
      <x:c r="E1" s="3"/>
    </x:row>
    <x:row r="3">
      <x:c r="A3" t="str">
        <x:v>date</x:v>
      </x:c>
      <x:c r="B3" t="str">
        <x:v>impressions</x:v>
      </x:c>
      <x:c r="C3" t="str">
        <x:v>engagements</x:v>
      </x:c>
      <x:c r="D3" t="str">
        <x:v>new_followers</x:v>
      </x:c>
      <x:c r="E3" t="str">
        <x:v>daily_engagement_rate</x:v>
      </x:c>
    </x:row>
    <x:row r="4">
      <x:c r="A4" s="60" t="str">
        <x:v>2026-02-15</x:v>
      </x:c>
      <x:c r="B4" s="52" t="n">
        <x:v>0</x:v>
      </x:c>
      <x:c r="C4" s="52" t="n">
        <x:v>0</x:v>
      </x:c>
      <x:c r="D4" s="52" t="n">
        <x:v>0</x:v>
      </x:c>
      <x:c r="E4" s="65"/>
    </x:row>
    <x:row r="5">
      <x:c r="A5" s="60" t="str">
        <x:v>2026-02-16</x:v>
      </x:c>
      <x:c r="B5" s="52" t="n">
        <x:v>3</x:v>
      </x:c>
      <x:c r="C5" s="52" t="n">
        <x:v>0</x:v>
      </x:c>
      <x:c r="D5" s="52" t="n">
        <x:v>0</x:v>
      </x:c>
      <x:c r="E5" s="65" t="n">
        <x:v>0</x:v>
      </x:c>
    </x:row>
    <x:row r="6">
      <x:c r="A6" s="60" t="str">
        <x:v>2026-02-17</x:v>
      </x:c>
      <x:c r="B6" s="52" t="n">
        <x:v>0</x:v>
      </x:c>
      <x:c r="C6" s="52" t="n">
        <x:v>0</x:v>
      </x:c>
      <x:c r="D6" s="52" t="n">
        <x:v>0</x:v>
      </x:c>
      <x:c r="E6" s="65"/>
    </x:row>
    <x:row r="7">
      <x:c r="A7" s="60" t="str">
        <x:v>2026-02-18</x:v>
      </x:c>
      <x:c r="B7" s="52" t="n">
        <x:v>363</x:v>
      </x:c>
      <x:c r="C7" s="52" t="n">
        <x:v>14</x:v>
      </x:c>
      <x:c r="D7" s="52" t="n">
        <x:v>0</x:v>
      </x:c>
      <x:c r="E7" s="65" t="n">
        <x:v>0.03856749311294766</x:v>
      </x:c>
    </x:row>
    <x:row r="8">
      <x:c r="A8" s="60" t="str">
        <x:v>2026-02-19</x:v>
      </x:c>
      <x:c r="B8" s="52" t="n">
        <x:v>323</x:v>
      </x:c>
      <x:c r="C8" s="52" t="n">
        <x:v>9</x:v>
      </x:c>
      <x:c r="D8" s="52" t="n">
        <x:v>0</x:v>
      </x:c>
      <x:c r="E8" s="65" t="n">
        <x:v>0.02786377708978328</x:v>
      </x:c>
    </x:row>
    <x:row r="9">
      <x:c r="A9" s="60" t="str">
        <x:v>2026-02-20</x:v>
      </x:c>
      <x:c r="B9" s="52" t="n">
        <x:v>2614</x:v>
      </x:c>
      <x:c r="C9" s="52" t="n">
        <x:v>36</x:v>
      </x:c>
      <x:c r="D9" s="52" t="n">
        <x:v>7</x:v>
      </x:c>
      <x:c r="E9" s="65" t="n">
        <x:v>0.013771996939556235</x:v>
      </x:c>
    </x:row>
    <x:row r="10">
      <x:c r="A10" s="60" t="str">
        <x:v>2026-02-21</x:v>
      </x:c>
      <x:c r="B10" s="52" t="n">
        <x:v>19602</x:v>
      </x:c>
      <x:c r="C10" s="52" t="n">
        <x:v>190</x:v>
      </x:c>
      <x:c r="D10" s="52" t="n">
        <x:v>71</x:v>
      </x:c>
      <x:c r="E10" s="65" t="n">
        <x:v>0.009692888480767268</x:v>
      </x:c>
    </x:row>
    <x:row r="11">
      <x:c r="A11" s="60" t="str">
        <x:v>2026-02-22</x:v>
      </x:c>
      <x:c r="B11" s="52" t="n">
        <x:v>9177</x:v>
      </x:c>
      <x:c r="C11" s="52" t="n">
        <x:v>69</x:v>
      </x:c>
      <x:c r="D11" s="52" t="n">
        <x:v>15</x:v>
      </x:c>
      <x:c r="E11" s="65" t="n">
        <x:v>0.007518796992481203</x:v>
      </x:c>
    </x:row>
    <x:row r="12">
      <x:c r="A12" s="60" t="str">
        <x:v>2026-02-23</x:v>
      </x:c>
      <x:c r="B12" s="52" t="n">
        <x:v>8338</x:v>
      </x:c>
      <x:c r="C12" s="52" t="n">
        <x:v>76</x:v>
      </x:c>
      <x:c r="D12" s="52" t="n">
        <x:v>20</x:v>
      </x:c>
      <x:c r="E12" s="65" t="n">
        <x:v>0.009114895658431278</x:v>
      </x:c>
    </x:row>
    <x:row r="13">
      <x:c r="A13" s="60" t="str">
        <x:v>2026-02-24</x:v>
      </x:c>
      <x:c r="B13" s="52" t="n">
        <x:v>4124</x:v>
      </x:c>
      <x:c r="C13" s="52" t="n">
        <x:v>38</x:v>
      </x:c>
      <x:c r="D13" s="52" t="n">
        <x:v>15</x:v>
      </x:c>
      <x:c r="E13" s="65" t="n">
        <x:v>0.00921435499515034</x:v>
      </x:c>
    </x:row>
    <x:row r="14">
      <x:c r="A14" s="60" t="str">
        <x:v>2026-02-25</x:v>
      </x:c>
      <x:c r="B14" s="52" t="n">
        <x:v>3347</x:v>
      </x:c>
      <x:c r="C14" s="52" t="n">
        <x:v>37</x:v>
      </x:c>
      <x:c r="D14" s="52" t="n">
        <x:v>10</x:v>
      </x:c>
      <x:c r="E14" s="65" t="n">
        <x:v>0.011054675829100687</x:v>
      </x:c>
    </x:row>
    <x:row r="15">
      <x:c r="A15" s="60" t="str">
        <x:v>2026-02-26</x:v>
      </x:c>
      <x:c r="B15" s="52" t="n">
        <x:v>3886</x:v>
      </x:c>
      <x:c r="C15" s="52" t="n">
        <x:v>35</x:v>
      </x:c>
      <x:c r="D15" s="52" t="n">
        <x:v>15</x:v>
      </x:c>
      <x:c r="E15" s="65" t="n">
        <x:v>0.009006690684508493</x:v>
      </x:c>
    </x:row>
    <x:row r="16">
      <x:c r="A16" s="60" t="str">
        <x:v>2026-02-27</x:v>
      </x:c>
      <x:c r="B16" s="52" t="n">
        <x:v>4597</x:v>
      </x:c>
      <x:c r="C16" s="52" t="n">
        <x:v>40</x:v>
      </x:c>
      <x:c r="D16" s="52" t="n">
        <x:v>11</x:v>
      </x:c>
      <x:c r="E16" s="65" t="n">
        <x:v>0.008701326952360235</x:v>
      </x:c>
    </x:row>
    <x:row r="17">
      <x:c r="A17" s="60" t="str">
        <x:v>2026-02-28</x:v>
      </x:c>
      <x:c r="B17" s="52" t="n">
        <x:v>644</x:v>
      </x:c>
      <x:c r="C17" s="52" t="n">
        <x:v>9</x:v>
      </x:c>
      <x:c r="D17" s="52" t="n">
        <x:v>0</x:v>
      </x:c>
      <x:c r="E17" s="65" t="n">
        <x:v>0.013975155279503106</x:v>
      </x:c>
    </x:row>
    <x:row r="18">
      <x:c r="A18" s="60" t="str">
        <x:v>2026-03-01</x:v>
      </x:c>
      <x:c r="B18" s="52" t="n">
        <x:v>751</x:v>
      </x:c>
      <x:c r="C18" s="52" t="n">
        <x:v>12</x:v>
      </x:c>
      <x:c r="D18" s="52" t="n">
        <x:v>3</x:v>
      </x:c>
      <x:c r="E18" s="65" t="n">
        <x:v>0.015978695073235686</x:v>
      </x:c>
    </x:row>
    <x:row r="19">
      <x:c r="A19" s="60" t="str">
        <x:v>2026-03-02</x:v>
      </x:c>
      <x:c r="B19" s="52" t="n">
        <x:v>748</x:v>
      </x:c>
      <x:c r="C19" s="52" t="n">
        <x:v>7</x:v>
      </x:c>
      <x:c r="D19" s="52" t="n">
        <x:v>2</x:v>
      </x:c>
      <x:c r="E19" s="65" t="n">
        <x:v>0.009358288770053475</x:v>
      </x:c>
    </x:row>
    <x:row r="20">
      <x:c r="A20" s="60" t="str">
        <x:v>2026-03-03</x:v>
      </x:c>
      <x:c r="B20" s="52" t="n">
        <x:v>676</x:v>
      </x:c>
      <x:c r="C20" s="52" t="n">
        <x:v>14</x:v>
      </x:c>
      <x:c r="D20" s="52" t="n">
        <x:v>2</x:v>
      </x:c>
      <x:c r="E20" s="65" t="n">
        <x:v>0.020710059171597635</x:v>
      </x:c>
    </x:row>
    <x:row r="21">
      <x:c r="A21" s="60" t="str">
        <x:v>2026-03-04</x:v>
      </x:c>
      <x:c r="B21" s="52" t="n">
        <x:v>597</x:v>
      </x:c>
      <x:c r="C21" s="52" t="n">
        <x:v>31</x:v>
      </x:c>
      <x:c r="D21" s="52" t="n">
        <x:v>1</x:v>
      </x:c>
      <x:c r="E21" s="65" t="n">
        <x:v>0.051926298157453935</x:v>
      </x:c>
    </x:row>
    <x:row r="22">
      <x:c r="A22" s="60" t="str">
        <x:v>2026-03-05</x:v>
      </x:c>
      <x:c r="B22" s="52" t="n">
        <x:v>533</x:v>
      </x:c>
      <x:c r="C22" s="52" t="n">
        <x:v>10</x:v>
      </x:c>
      <x:c r="D22" s="52" t="n">
        <x:v>0</x:v>
      </x:c>
      <x:c r="E22" s="65" t="n">
        <x:v>0.01876172607879925</x:v>
      </x:c>
    </x:row>
    <x:row r="23">
      <x:c r="A23" s="60" t="str">
        <x:v>2026-03-06</x:v>
      </x:c>
      <x:c r="B23" s="52" t="n">
        <x:v>416</x:v>
      </x:c>
      <x:c r="C23" s="52" t="n">
        <x:v>2</x:v>
      </x:c>
      <x:c r="D23" s="52" t="n">
        <x:v>1</x:v>
      </x:c>
      <x:c r="E23" s="65" t="n">
        <x:v>0.004807692307692308</x:v>
      </x:c>
    </x:row>
    <x:row r="24">
      <x:c r="A24" s="60" t="str">
        <x:v>2026-03-07</x:v>
      </x:c>
      <x:c r="B24" s="52" t="n">
        <x:v>201</x:v>
      </x:c>
      <x:c r="C24" s="52" t="n">
        <x:v>3</x:v>
      </x:c>
      <x:c r="D24" s="52" t="n">
        <x:v>2</x:v>
      </x:c>
      <x:c r="E24" s="65" t="n">
        <x:v>0.014925373134328358</x:v>
      </x:c>
    </x:row>
    <x:row r="25">
      <x:c r="A25" s="60" t="str">
        <x:v>2026-03-08</x:v>
      </x:c>
      <x:c r="B25" s="52" t="n">
        <x:v>171</x:v>
      </x:c>
      <x:c r="C25" s="52" t="n">
        <x:v>2</x:v>
      </x:c>
      <x:c r="D25" s="52" t="n">
        <x:v>1</x:v>
      </x:c>
      <x:c r="E25" s="65" t="n">
        <x:v>0.011695906432748537</x:v>
      </x:c>
    </x:row>
    <x:row r="26">
      <x:c r="A26" s="60" t="str">
        <x:v>2026-03-09</x:v>
      </x:c>
      <x:c r="B26" s="52" t="n">
        <x:v>337</x:v>
      </x:c>
      <x:c r="C26" s="52" t="n">
        <x:v>6</x:v>
      </x:c>
      <x:c r="D26" s="52" t="n">
        <x:v>1</x:v>
      </x:c>
      <x:c r="E26" s="65" t="n">
        <x:v>0.017804154302670624</x:v>
      </x:c>
    </x:row>
    <x:row r="27">
      <x:c r="A27" s="60" t="str">
        <x:v>2026-03-10</x:v>
      </x:c>
      <x:c r="B27" s="52" t="n">
        <x:v>299</x:v>
      </x:c>
      <x:c r="C27" s="52" t="n">
        <x:v>3</x:v>
      </x:c>
      <x:c r="D27" s="52" t="n">
        <x:v>0</x:v>
      </x:c>
      <x:c r="E27" s="65" t="n">
        <x:v>0.010033444816053512</x:v>
      </x:c>
    </x:row>
    <x:row r="28">
      <x:c r="A28" s="60" t="str">
        <x:v>2026-03-11</x:v>
      </x:c>
      <x:c r="B28" s="52" t="n">
        <x:v>494</x:v>
      </x:c>
      <x:c r="C28" s="52" t="n">
        <x:v>9</x:v>
      </x:c>
      <x:c r="D28" s="52" t="n">
        <x:v>2</x:v>
      </x:c>
      <x:c r="E28" s="65" t="n">
        <x:v>0.018218623481781375</x:v>
      </x:c>
    </x:row>
    <x:row r="29">
      <x:c r="A29" s="60" t="str">
        <x:v>2026-03-12</x:v>
      </x:c>
      <x:c r="B29" s="52" t="n">
        <x:v>684</x:v>
      </x:c>
      <x:c r="C29" s="52" t="n">
        <x:v>7</x:v>
      </x:c>
      <x:c r="D29" s="52" t="n">
        <x:v>4</x:v>
      </x:c>
      <x:c r="E29" s="65" t="n">
        <x:v>0.01023391812865497</x:v>
      </x:c>
    </x:row>
    <x:row r="30">
      <x:c r="A30" s="60" t="str">
        <x:v>2026-03-13</x:v>
      </x:c>
      <x:c r="B30" s="52" t="n">
        <x:v>3024</x:v>
      </x:c>
      <x:c r="C30" s="52" t="n">
        <x:v>29</x:v>
      </x:c>
      <x:c r="D30" s="52" t="n">
        <x:v>7</x:v>
      </x:c>
      <x:c r="E30" s="65" t="n">
        <x:v>0.00958994708994709</x:v>
      </x:c>
    </x:row>
    <x:row r="31">
      <x:c r="A31" s="60" t="str">
        <x:v>2026-03-14</x:v>
      </x:c>
      <x:c r="B31" s="52" t="n">
        <x:v>1387</x:v>
      </x:c>
      <x:c r="C31" s="52" t="n">
        <x:v>12</x:v>
      </x:c>
      <x:c r="D31" s="52" t="n">
        <x:v>3</x:v>
      </x:c>
      <x:c r="E31" s="65" t="n">
        <x:v>0.008651766402307137</x:v>
      </x:c>
    </x:row>
    <x:row r="32">
      <x:c r="A32" s="60" t="str">
        <x:v>2026-03-15</x:v>
      </x:c>
      <x:c r="B32" s="52" t="n">
        <x:v>1373</x:v>
      </x:c>
      <x:c r="C32" s="52" t="n">
        <x:v>11</x:v>
      </x:c>
      <x:c r="D32" s="52" t="n">
        <x:v>1</x:v>
      </x:c>
      <x:c r="E32" s="65" t="n">
        <x:v>0.008011653313911144</x:v>
      </x:c>
    </x:row>
    <x:row r="33">
      <x:c r="A33" s="60" t="str">
        <x:v>2026-03-16</x:v>
      </x:c>
      <x:c r="B33" s="52" t="n">
        <x:v>1733</x:v>
      </x:c>
      <x:c r="C33" s="52" t="n">
        <x:v>12</x:v>
      </x:c>
      <x:c r="D33" s="52" t="n">
        <x:v>2</x:v>
      </x:c>
      <x:c r="E33" s="65" t="n">
        <x:v>0.006924408540103866</x:v>
      </x:c>
    </x:row>
    <x:row r="34">
      <x:c r="A34" s="60" t="str">
        <x:v>2026-03-17</x:v>
      </x:c>
      <x:c r="B34" s="52" t="n">
        <x:v>868</x:v>
      </x:c>
      <x:c r="C34" s="52" t="n">
        <x:v>5</x:v>
      </x:c>
      <x:c r="D34" s="52" t="n">
        <x:v>2</x:v>
      </x:c>
      <x:c r="E34" s="65" t="n">
        <x:v>0.00576036866359447</x:v>
      </x:c>
    </x:row>
    <x:row r="35">
      <x:c r="A35" s="60" t="str">
        <x:v>2026-03-18</x:v>
      </x:c>
      <x:c r="B35" s="52" t="n">
        <x:v>1689</x:v>
      </x:c>
      <x:c r="C35" s="52" t="n">
        <x:v>5</x:v>
      </x:c>
      <x:c r="D35" s="52" t="n">
        <x:v>0</x:v>
      </x:c>
      <x:c r="E35" s="65" t="n">
        <x:v>0.002960331557134399</x:v>
      </x:c>
    </x:row>
    <x:row r="36">
      <x:c r="A36" s="60" t="str">
        <x:v>2026-03-19</x:v>
      </x:c>
      <x:c r="B36" s="52" t="n">
        <x:v>1008</x:v>
      </x:c>
      <x:c r="C36" s="52" t="n">
        <x:v>5</x:v>
      </x:c>
      <x:c r="D36" s="52" t="n">
        <x:v>0</x:v>
      </x:c>
      <x:c r="E36" s="65" t="n">
        <x:v>0.00496031746031746</x:v>
      </x:c>
    </x:row>
    <x:row r="37">
      <x:c r="A37" s="60" t="str">
        <x:v>2026-03-20</x:v>
      </x:c>
      <x:c r="B37" s="52" t="n">
        <x:v>1048</x:v>
      </x:c>
      <x:c r="C37" s="52" t="n">
        <x:v>11</x:v>
      </x:c>
      <x:c r="D37" s="52" t="n">
        <x:v>0</x:v>
      </x:c>
      <x:c r="E37" s="65" t="n">
        <x:v>0.01049618320610687</x:v>
      </x:c>
    </x:row>
    <x:row r="38">
      <x:c r="A38" s="60" t="str">
        <x:v>2026-03-21</x:v>
      </x:c>
      <x:c r="B38" s="52" t="n">
        <x:v>439</x:v>
      </x:c>
      <x:c r="C38" s="52" t="n">
        <x:v>6</x:v>
      </x:c>
      <x:c r="D38" s="52" t="n">
        <x:v>0</x:v>
      </x:c>
      <x:c r="E38" s="65" t="n">
        <x:v>0.01366742596810934</x:v>
      </x:c>
    </x:row>
    <x:row r="39">
      <x:c r="A39" s="60" t="str">
        <x:v>2026-03-22</x:v>
      </x:c>
      <x:c r="B39" s="52" t="n">
        <x:v>423</x:v>
      </x:c>
      <x:c r="C39" s="52" t="n">
        <x:v>4</x:v>
      </x:c>
      <x:c r="D39" s="52" t="n">
        <x:v>0</x:v>
      </x:c>
      <x:c r="E39" s="65" t="n">
        <x:v>0.009456264775413711</x:v>
      </x:c>
    </x:row>
    <x:row r="40">
      <x:c r="A40" s="60" t="str">
        <x:v>2026-03-23</x:v>
      </x:c>
      <x:c r="B40" s="52" t="n">
        <x:v>422</x:v>
      </x:c>
      <x:c r="C40" s="52" t="n">
        <x:v>4</x:v>
      </x:c>
      <x:c r="D40" s="52" t="n">
        <x:v>1</x:v>
      </x:c>
      <x:c r="E40" s="65" t="n">
        <x:v>0.009478672985781991</x:v>
      </x:c>
    </x:row>
    <x:row r="41">
      <x:c r="A41" s="60" t="str">
        <x:v>2026-03-24</x:v>
      </x:c>
      <x:c r="B41" s="52" t="n">
        <x:v>272</x:v>
      </x:c>
      <x:c r="C41" s="52" t="n">
        <x:v>5</x:v>
      </x:c>
      <x:c r="D41" s="52" t="n">
        <x:v>0</x:v>
      </x:c>
      <x:c r="E41" s="65" t="n">
        <x:v>0.01838235294117647</x:v>
      </x:c>
    </x:row>
    <x:row r="42">
      <x:c r="A42" s="60" t="str">
        <x:v>2026-03-25</x:v>
      </x:c>
      <x:c r="B42" s="52" t="n">
        <x:v>207</x:v>
      </x:c>
      <x:c r="C42" s="52" t="n">
        <x:v>6</x:v>
      </x:c>
      <x:c r="D42" s="52" t="n">
        <x:v>2</x:v>
      </x:c>
      <x:c r="E42" s="65" t="n">
        <x:v>0.028985507246376812</x:v>
      </x:c>
    </x:row>
    <x:row r="43">
      <x:c r="A43" s="60" t="str">
        <x:v>2026-03-26</x:v>
      </x:c>
      <x:c r="B43" s="52" t="n">
        <x:v>208</x:v>
      </x:c>
      <x:c r="C43" s="52" t="n">
        <x:v>7</x:v>
      </x:c>
      <x:c r="D43" s="52" t="n">
        <x:v>0</x:v>
      </x:c>
      <x:c r="E43" s="65" t="n">
        <x:v>0.03365384615384615</x:v>
      </x:c>
    </x:row>
    <x:row r="44">
      <x:c r="A44" s="60" t="str">
        <x:v>2026-03-27</x:v>
      </x:c>
      <x:c r="B44" s="52" t="n">
        <x:v>166</x:v>
      </x:c>
      <x:c r="C44" s="52" t="n">
        <x:v>6</x:v>
      </x:c>
      <x:c r="D44" s="52" t="n">
        <x:v>0</x:v>
      </x:c>
      <x:c r="E44" s="65" t="n">
        <x:v>0.03614457831325301</x:v>
      </x:c>
    </x:row>
    <x:row r="45">
      <x:c r="A45" s="60" t="str">
        <x:v>2026-03-28</x:v>
      </x:c>
      <x:c r="B45" s="52" t="n">
        <x:v>86</x:v>
      </x:c>
      <x:c r="C45" s="52" t="n">
        <x:v>1</x:v>
      </x:c>
      <x:c r="D45" s="52" t="n">
        <x:v>1</x:v>
      </x:c>
      <x:c r="E45" s="65" t="n">
        <x:v>0.011627906976744186</x:v>
      </x:c>
    </x:row>
    <x:row r="46">
      <x:c r="A46" s="60" t="str">
        <x:v>2026-03-29</x:v>
      </x:c>
      <x:c r="B46" s="52" t="n">
        <x:v>65</x:v>
      </x:c>
      <x:c r="C46" s="52" t="n">
        <x:v>1</x:v>
      </x:c>
      <x:c r="D46" s="52" t="n">
        <x:v>0</x:v>
      </x:c>
      <x:c r="E46" s="65" t="n">
        <x:v>0.015384615384615385</x:v>
      </x:c>
    </x:row>
    <x:row r="47">
      <x:c r="A47" s="60" t="str">
        <x:v>2026-03-30</x:v>
      </x:c>
      <x:c r="B47" s="52" t="n">
        <x:v>103</x:v>
      </x:c>
      <x:c r="C47" s="52" t="n">
        <x:v>2</x:v>
      </x:c>
      <x:c r="D47" s="52" t="n">
        <x:v>0</x:v>
      </x:c>
      <x:c r="E47" s="65" t="n">
        <x:v>0.019417475728155338</x:v>
      </x:c>
    </x:row>
    <x:row r="48">
      <x:c r="A48" s="60" t="str">
        <x:v>2026-03-31</x:v>
      </x:c>
      <x:c r="B48" s="52" t="n">
        <x:v>128</x:v>
      </x:c>
      <x:c r="C48" s="52" t="n">
        <x:v>3</x:v>
      </x:c>
      <x:c r="D48" s="52" t="n">
        <x:v>0</x:v>
      </x:c>
      <x:c r="E48" s="65" t="n">
        <x:v>0.0234375</x:v>
      </x:c>
    </x:row>
    <x:row r="49">
      <x:c r="A49" s="60" t="str">
        <x:v>2026-04-01</x:v>
      </x:c>
      <x:c r="B49" s="52" t="n">
        <x:v>98</x:v>
      </x:c>
      <x:c r="C49" s="52" t="n">
        <x:v>2</x:v>
      </x:c>
      <x:c r="D49" s="52" t="n">
        <x:v>0</x:v>
      </x:c>
      <x:c r="E49" s="65" t="n">
        <x:v>0.02040816326530612</x:v>
      </x:c>
    </x:row>
    <x:row r="50">
      <x:c r="A50" s="60" t="str">
        <x:v>2026-04-02</x:v>
      </x:c>
      <x:c r="B50" s="52" t="n">
        <x:v>229</x:v>
      </x:c>
      <x:c r="C50" s="52" t="n">
        <x:v>4</x:v>
      </x:c>
      <x:c r="D50" s="52" t="n">
        <x:v>1</x:v>
      </x:c>
      <x:c r="E50" s="65" t="n">
        <x:v>0.017467248908296942</x:v>
      </x:c>
    </x:row>
    <x:row r="51">
      <x:c r="A51" s="60" t="str">
        <x:v>2026-04-03</x:v>
      </x:c>
      <x:c r="B51" s="52" t="n">
        <x:v>375</x:v>
      </x:c>
      <x:c r="C51" s="52" t="n">
        <x:v>4</x:v>
      </x:c>
      <x:c r="D51" s="52" t="n">
        <x:v>0</x:v>
      </x:c>
      <x:c r="E51" s="65" t="n">
        <x:v>0.010666666666666666</x:v>
      </x:c>
    </x:row>
    <x:row r="52">
      <x:c r="A52" s="60" t="str">
        <x:v>2026-04-04</x:v>
      </x:c>
      <x:c r="B52" s="52" t="n">
        <x:v>10676</x:v>
      </x:c>
      <x:c r="C52" s="52" t="n">
        <x:v>85</x:v>
      </x:c>
      <x:c r="D52" s="52" t="n">
        <x:v>18</x:v>
      </x:c>
      <x:c r="E52" s="65" t="n">
        <x:v>0.007961783439490446</x:v>
      </x:c>
    </x:row>
    <x:row r="53">
      <x:c r="A53" s="60" t="str">
        <x:v>2026-04-05</x:v>
      </x:c>
      <x:c r="B53" s="52" t="n">
        <x:v>8605</x:v>
      </x:c>
      <x:c r="C53" s="52" t="n">
        <x:v>68</x:v>
      </x:c>
      <x:c r="D53" s="52" t="n">
        <x:v>15</x:v>
      </x:c>
      <x:c r="E53" s="65" t="n">
        <x:v>0.007902382335851249</x:v>
      </x:c>
    </x:row>
    <x:row r="54">
      <x:c r="A54" s="60" t="str">
        <x:v>2026-04-06</x:v>
      </x:c>
      <x:c r="B54" s="52" t="n">
        <x:v>7036</x:v>
      </x:c>
      <x:c r="C54" s="52" t="n">
        <x:v>44</x:v>
      </x:c>
      <x:c r="D54" s="52" t="n">
        <x:v>19</x:v>
      </x:c>
      <x:c r="E54" s="65" t="n">
        <x:v>0.0062535531552018195</x:v>
      </x:c>
    </x:row>
    <x:row r="55">
      <x:c r="A55" s="60" t="str">
        <x:v>2026-04-07</x:v>
      </x:c>
      <x:c r="B55" s="52" t="n">
        <x:v>997</x:v>
      </x:c>
      <x:c r="C55" s="52" t="n">
        <x:v>5</x:v>
      </x:c>
      <x:c r="D55" s="52" t="n">
        <x:v>1</x:v>
      </x:c>
      <x:c r="E55" s="65" t="n">
        <x:v>0.0050150451354062184</x:v>
      </x:c>
    </x:row>
    <x:row r="56">
      <x:c r="A56" s="60" t="str">
        <x:v>2026-04-08</x:v>
      </x:c>
      <x:c r="B56" s="52" t="n">
        <x:v>526</x:v>
      </x:c>
      <x:c r="C56" s="52" t="n">
        <x:v>11</x:v>
      </x:c>
      <x:c r="D56" s="52" t="n">
        <x:v>0</x:v>
      </x:c>
      <x:c r="E56" s="65" t="n">
        <x:v>0.02091254752851711</x:v>
      </x:c>
    </x:row>
    <x:row r="57">
      <x:c r="A57" s="60" t="str">
        <x:v>2026-04-09</x:v>
      </x:c>
      <x:c r="B57" s="52" t="n">
        <x:v>1414</x:v>
      </x:c>
      <x:c r="C57" s="52" t="n">
        <x:v>14</x:v>
      </x:c>
      <x:c r="D57" s="52" t="n">
        <x:v>10</x:v>
      </x:c>
      <x:c r="E57" s="65" t="n">
        <x:v>0.009900990099009901</x:v>
      </x:c>
    </x:row>
    <x:row r="58">
      <x:c r="A58" s="60" t="str">
        <x:v>2026-04-10</x:v>
      </x:c>
      <x:c r="B58" s="52" t="n">
        <x:v>799</x:v>
      </x:c>
      <x:c r="C58" s="52" t="n">
        <x:v>10</x:v>
      </x:c>
      <x:c r="D58" s="52" t="n">
        <x:v>2</x:v>
      </x:c>
      <x:c r="E58" s="65" t="n">
        <x:v>0.012515644555694618</x:v>
      </x:c>
    </x:row>
    <x:row r="59">
      <x:c r="A59" s="60" t="str">
        <x:v>2026-04-11</x:v>
      </x:c>
      <x:c r="B59" s="52" t="n">
        <x:v>734</x:v>
      </x:c>
      <x:c r="C59" s="52" t="n">
        <x:v>7</x:v>
      </x:c>
      <x:c r="D59" s="52" t="n">
        <x:v>6</x:v>
      </x:c>
      <x:c r="E59" s="65" t="n">
        <x:v>0.009536784741144414</x:v>
      </x:c>
    </x:row>
    <x:row r="60">
      <x:c r="A60" s="60" t="str">
        <x:v>2026-04-12</x:v>
      </x:c>
      <x:c r="B60" s="52" t="n">
        <x:v>780</x:v>
      </x:c>
      <x:c r="C60" s="52" t="n">
        <x:v>8</x:v>
      </x:c>
      <x:c r="D60" s="52" t="n">
        <x:v>8</x:v>
      </x:c>
      <x:c r="E60" s="65" t="n">
        <x:v>0.010256410256410256</x:v>
      </x:c>
    </x:row>
    <x:row r="61">
      <x:c r="A61" s="60" t="str">
        <x:v>2026-04-13</x:v>
      </x:c>
      <x:c r="B61" s="52" t="n">
        <x:v>935</x:v>
      </x:c>
      <x:c r="C61" s="52" t="n">
        <x:v>11</x:v>
      </x:c>
      <x:c r="D61" s="52" t="n">
        <x:v>3</x:v>
      </x:c>
      <x:c r="E61" s="65" t="n">
        <x:v>0.011764705882352941</x:v>
      </x:c>
    </x:row>
    <x:row r="62">
      <x:c r="A62" s="60" t="str">
        <x:v>2026-04-14</x:v>
      </x:c>
      <x:c r="B62" s="52" t="n">
        <x:v>422</x:v>
      </x:c>
      <x:c r="C62" s="52" t="n">
        <x:v>10</x:v>
      </x:c>
      <x:c r="D62" s="52" t="n">
        <x:v>1</x:v>
      </x:c>
      <x:c r="E62" s="65" t="n">
        <x:v>0.023696682464454975</x:v>
      </x:c>
    </x:row>
    <x:row r="63">
      <x:c r="A63" s="60" t="str">
        <x:v>2026-04-15</x:v>
      </x:c>
      <x:c r="B63" s="52" t="n">
        <x:v>332</x:v>
      </x:c>
      <x:c r="C63" s="52" t="n">
        <x:v>4</x:v>
      </x:c>
      <x:c r="D63" s="52" t="n">
        <x:v>1</x:v>
      </x:c>
      <x:c r="E63" s="65" t="n">
        <x:v>0.012048192771084338</x:v>
      </x:c>
    </x:row>
    <x:row r="64">
      <x:c r="A64" s="60" t="str">
        <x:v>2026-04-16</x:v>
      </x:c>
      <x:c r="B64" s="52" t="n">
        <x:v>276</x:v>
      </x:c>
      <x:c r="C64" s="52" t="n">
        <x:v>4</x:v>
      </x:c>
      <x:c r="D64" s="52" t="n">
        <x:v>4</x:v>
      </x:c>
      <x:c r="E64" s="65" t="n">
        <x:v>0.014492753623188406</x:v>
      </x:c>
    </x:row>
    <x:row r="65">
      <x:c r="A65" s="60" t="str">
        <x:v>2026-04-17</x:v>
      </x:c>
      <x:c r="B65" s="52" t="n">
        <x:v>292</x:v>
      </x:c>
      <x:c r="C65" s="52" t="n">
        <x:v>3</x:v>
      </x:c>
      <x:c r="D65" s="52" t="n">
        <x:v>2</x:v>
      </x:c>
      <x:c r="E65" s="65" t="n">
        <x:v>0.010273972602739725</x:v>
      </x:c>
    </x:row>
    <x:row r="66">
      <x:c r="A66" s="60" t="str">
        <x:v>2026-04-18</x:v>
      </x:c>
      <x:c r="B66" s="52" t="n">
        <x:v>1588</x:v>
      </x:c>
      <x:c r="C66" s="52" t="n">
        <x:v>28</x:v>
      </x:c>
      <x:c r="D66" s="52" t="n">
        <x:v>18</x:v>
      </x:c>
      <x:c r="E66" s="65" t="n">
        <x:v>0.017632241813602016</x:v>
      </x:c>
    </x:row>
    <x:row r="67">
      <x:c r="A67" s="60" t="str">
        <x:v>2026-04-19</x:v>
      </x:c>
      <x:c r="B67" s="52" t="n">
        <x:v>1986</x:v>
      </x:c>
      <x:c r="C67" s="52" t="n">
        <x:v>18</x:v>
      </x:c>
      <x:c r="D67" s="52" t="n">
        <x:v>17</x:v>
      </x:c>
      <x:c r="E67" s="65" t="n">
        <x:v>0.00906344410876133</x:v>
      </x:c>
    </x:row>
    <x:row r="68">
      <x:c r="A68" s="60" t="str">
        <x:v>2026-04-20</x:v>
      </x:c>
      <x:c r="B68" s="52" t="n">
        <x:v>978</x:v>
      </x:c>
      <x:c r="C68" s="52" t="n">
        <x:v>11</x:v>
      </x:c>
      <x:c r="D68" s="52" t="n">
        <x:v>3</x:v>
      </x:c>
      <x:c r="E68" s="65" t="n">
        <x:v>0.011247443762781187</x:v>
      </x:c>
    </x:row>
    <x:row r="69">
      <x:c r="A69" s="60" t="str">
        <x:v>2026-04-21</x:v>
      </x:c>
      <x:c r="B69" s="52" t="n">
        <x:v>1278</x:v>
      </x:c>
      <x:c r="C69" s="52" t="n">
        <x:v>16</x:v>
      </x:c>
      <x:c r="D69" s="52" t="n">
        <x:v>4</x:v>
      </x:c>
      <x:c r="E69" s="65" t="n">
        <x:v>0.012519561815336464</x:v>
      </x:c>
    </x:row>
    <x:row r="70">
      <x:c r="A70" s="60" t="str">
        <x:v>2026-04-22</x:v>
      </x:c>
      <x:c r="B70" s="52" t="n">
        <x:v>1231</x:v>
      </x:c>
      <x:c r="C70" s="52" t="n">
        <x:v>22</x:v>
      </x:c>
      <x:c r="D70" s="52" t="n">
        <x:v>4</x:v>
      </x:c>
      <x:c r="E70" s="65" t="n">
        <x:v>0.017871649065800164</x:v>
      </x:c>
    </x:row>
    <x:row r="71">
      <x:c r="A71" s="60" t="str">
        <x:v>2026-04-23</x:v>
      </x:c>
      <x:c r="B71" s="52" t="n">
        <x:v>4292</x:v>
      </x:c>
      <x:c r="C71" s="52" t="n">
        <x:v>67</x:v>
      </x:c>
      <x:c r="D71" s="52" t="n">
        <x:v>25</x:v>
      </x:c>
      <x:c r="E71" s="65" t="n">
        <x:v>0.015610438024231128</x:v>
      </x:c>
    </x:row>
    <x:row r="72">
      <x:c r="A72" s="60" t="str">
        <x:v>2026-04-24</x:v>
      </x:c>
      <x:c r="B72" s="52" t="n">
        <x:v>1307</x:v>
      </x:c>
      <x:c r="C72" s="52" t="n">
        <x:v>21</x:v>
      </x:c>
      <x:c r="D72" s="52" t="n">
        <x:v>14</x:v>
      </x:c>
      <x:c r="E72" s="65" t="n">
        <x:v>0.016067329762815608</x:v>
      </x:c>
    </x:row>
    <x:row r="73">
      <x:c r="A73" s="60" t="str">
        <x:v>2026-04-25</x:v>
      </x:c>
      <x:c r="B73" s="52" t="n">
        <x:v>765</x:v>
      </x:c>
      <x:c r="C73" s="52" t="n">
        <x:v>5</x:v>
      </x:c>
      <x:c r="D73" s="52" t="n">
        <x:v>4</x:v>
      </x:c>
      <x:c r="E73" s="65" t="n">
        <x:v>0.006535947712418301</x:v>
      </x:c>
    </x:row>
    <x:row r="74">
      <x:c r="A74" s="60" t="str">
        <x:v>2026-04-26</x:v>
      </x:c>
      <x:c r="B74" s="52" t="n">
        <x:v>554</x:v>
      </x:c>
      <x:c r="C74" s="52" t="n">
        <x:v>7</x:v>
      </x:c>
      <x:c r="D74" s="52" t="n">
        <x:v>2</x:v>
      </x:c>
      <x:c r="E74" s="65" t="n">
        <x:v>0.01263537906137184</x:v>
      </x:c>
    </x:row>
    <x:row r="75">
      <x:c r="A75" s="60" t="str">
        <x:v>2026-04-27</x:v>
      </x:c>
      <x:c r="B75" s="52" t="n">
        <x:v>1245</x:v>
      </x:c>
      <x:c r="C75" s="52" t="n">
        <x:v>12</x:v>
      </x:c>
      <x:c r="D75" s="52" t="n">
        <x:v>3</x:v>
      </x:c>
      <x:c r="E75" s="65" t="n">
        <x:v>0.00963855421686747</x:v>
      </x:c>
    </x:row>
    <x:row r="76">
      <x:c r="A76" s="60" t="str">
        <x:v>2026-04-28</x:v>
      </x:c>
      <x:c r="B76" s="52" t="n">
        <x:v>1597</x:v>
      </x:c>
      <x:c r="C76" s="52" t="n">
        <x:v>25</x:v>
      </x:c>
      <x:c r="D76" s="52" t="n">
        <x:v>7</x:v>
      </x:c>
      <x:c r="E76" s="65" t="n">
        <x:v>0.015654351909830933</x:v>
      </x:c>
    </x:row>
    <x:row r="77">
      <x:c r="A77" s="60" t="str">
        <x:v>2026-04-29</x:v>
      </x:c>
      <x:c r="B77" s="52" t="n">
        <x:v>682</x:v>
      </x:c>
      <x:c r="C77" s="52" t="n">
        <x:v>7</x:v>
      </x:c>
      <x:c r="D77" s="52" t="n">
        <x:v>3</x:v>
      </x:c>
      <x:c r="E77" s="65" t="n">
        <x:v>0.010263929618768328</x:v>
      </x:c>
    </x:row>
    <x:row r="78">
      <x:c r="A78" s="60" t="str">
        <x:v>2026-04-30</x:v>
      </x:c>
      <x:c r="B78" s="52" t="n">
        <x:v>634</x:v>
      </x:c>
      <x:c r="C78" s="52" t="n">
        <x:v>5</x:v>
      </x:c>
      <x:c r="D78" s="52" t="n">
        <x:v>1</x:v>
      </x:c>
      <x:c r="E78" s="65" t="n">
        <x:v>0.007886435331230283</x:v>
      </x:c>
    </x:row>
    <x:row r="79">
      <x:c r="A79" s="60" t="str">
        <x:v>2026-05-01</x:v>
      </x:c>
      <x:c r="B79" s="52" t="n">
        <x:v>2564</x:v>
      </x:c>
      <x:c r="C79" s="52" t="n">
        <x:v>10</x:v>
      </x:c>
      <x:c r="D79" s="52" t="n">
        <x:v>4</x:v>
      </x:c>
      <x:c r="E79" s="65" t="n">
        <x:v>0.0039001560062402497</x:v>
      </x:c>
    </x:row>
    <x:row r="80">
      <x:c r="A80" s="60" t="str">
        <x:v>2026-05-02</x:v>
      </x:c>
      <x:c r="B80" s="52" t="n">
        <x:v>4762</x:v>
      </x:c>
      <x:c r="C80" s="52" t="n">
        <x:v>13</x:v>
      </x:c>
      <x:c r="D80" s="52" t="n">
        <x:v>6</x:v>
      </x:c>
      <x:c r="E80" s="65" t="n">
        <x:v>0.0027299454010919783</x:v>
      </x:c>
    </x:row>
    <x:row r="81">
      <x:c r="A81" s="60" t="str">
        <x:v>2026-05-03</x:v>
      </x:c>
      <x:c r="B81" s="52" t="n">
        <x:v>2395</x:v>
      </x:c>
      <x:c r="C81" s="52" t="n">
        <x:v>6</x:v>
      </x:c>
      <x:c r="D81" s="52" t="n">
        <x:v>1</x:v>
      </x:c>
      <x:c r="E81" s="65" t="n">
        <x:v>0.0025052192066805845</x:v>
      </x:c>
    </x:row>
    <x:row r="82">
      <x:c r="A82" s="60" t="str">
        <x:v>2026-05-04</x:v>
      </x:c>
      <x:c r="B82" s="52" t="n">
        <x:v>2212</x:v>
      </x:c>
      <x:c r="C82" s="52" t="n">
        <x:v>7</x:v>
      </x:c>
      <x:c r="D82" s="52" t="n">
        <x:v>4</x:v>
      </x:c>
      <x:c r="E82" s="65" t="n">
        <x:v>0.0031645569620253164</x:v>
      </x:c>
    </x:row>
    <x:row r="83">
      <x:c r="A83" s="60" t="str">
        <x:v>2026-05-05</x:v>
      </x:c>
      <x:c r="B83" s="52" t="n">
        <x:v>218</x:v>
      </x:c>
      <x:c r="C83" s="52" t="n">
        <x:v>0</x:v>
      </x:c>
      <x:c r="D83" s="52" t="n">
        <x:v>1</x:v>
      </x:c>
      <x:c r="E83" s="65" t="n">
        <x:v>0</x:v>
      </x:c>
    </x:row>
    <x:row r="84">
      <x:c r="A84" s="60" t="str">
        <x:v>2026-05-06</x:v>
      </x:c>
      <x:c r="B84" s="52" t="n">
        <x:v>183</x:v>
      </x:c>
      <x:c r="C84" s="52" t="n">
        <x:v>5</x:v>
      </x:c>
      <x:c r="D84" s="52" t="n">
        <x:v>2</x:v>
      </x:c>
      <x:c r="E84" s="65" t="n">
        <x:v>0.0273224043715847</x:v>
      </x:c>
    </x:row>
    <x:row r="85">
      <x:c r="A85" s="60" t="str">
        <x:v>2026-05-07</x:v>
      </x:c>
      <x:c r="B85" s="52" t="n">
        <x:v>156</x:v>
      </x:c>
      <x:c r="C85" s="52" t="n">
        <x:v>2</x:v>
      </x:c>
      <x:c r="D85" s="52" t="n">
        <x:v>2</x:v>
      </x:c>
      <x:c r="E85" s="65" t="n">
        <x:v>0.01282051282051282</x:v>
      </x:c>
    </x:row>
    <x:row r="86">
      <x:c r="A86" s="60" t="str">
        <x:v>2026-05-08</x:v>
      </x:c>
      <x:c r="B86" s="52" t="n">
        <x:v>120</x:v>
      </x:c>
      <x:c r="C86" s="52" t="n">
        <x:v>0</x:v>
      </x:c>
      <x:c r="D86" s="52" t="n">
        <x:v>1</x:v>
      </x:c>
      <x:c r="E86" s="65" t="n">
        <x:v>0</x:v>
      </x:c>
    </x:row>
    <x:row r="87">
      <x:c r="A87" s="60" t="str">
        <x:v>2026-05-09</x:v>
      </x:c>
      <x:c r="B87" s="52" t="n">
        <x:v>100</x:v>
      </x:c>
      <x:c r="C87" s="52" t="n">
        <x:v>1</x:v>
      </x:c>
      <x:c r="D87" s="52" t="n">
        <x:v>1</x:v>
      </x:c>
      <x:c r="E87" s="65" t="n">
        <x:v>0.01</x:v>
      </x:c>
    </x:row>
    <x:row r="88">
      <x:c r="A88" s="60" t="str">
        <x:v>2026-05-10</x:v>
      </x:c>
      <x:c r="B88" s="52" t="n">
        <x:v>101</x:v>
      </x:c>
      <x:c r="C88" s="52" t="n">
        <x:v>2</x:v>
      </x:c>
      <x:c r="D88" s="52" t="n">
        <x:v>2</x:v>
      </x:c>
      <x:c r="E88" s="65" t="n">
        <x:v>0.019801980198019802</x:v>
      </x:c>
    </x:row>
    <x:row r="89">
      <x:c r="A89" s="60" t="str">
        <x:v>2026-05-11</x:v>
      </x:c>
      <x:c r="B89" s="52" t="n">
        <x:v>213</x:v>
      </x:c>
      <x:c r="C89" s="52" t="n">
        <x:v>3</x:v>
      </x:c>
      <x:c r="D89" s="52" t="n">
        <x:v>2</x:v>
      </x:c>
      <x:c r="E89" s="65" t="n">
        <x:v>0.014084507042253521</x:v>
      </x:c>
    </x:row>
    <x:row r="90">
      <x:c r="A90" s="60" t="str">
        <x:v>2026-05-12</x:v>
      </x:c>
      <x:c r="B90" s="52" t="n">
        <x:v>169</x:v>
      </x:c>
      <x:c r="C90" s="52" t="n">
        <x:v>1</x:v>
      </x:c>
      <x:c r="D90" s="52" t="n">
        <x:v>4</x:v>
      </x:c>
      <x:c r="E90" s="65" t="n">
        <x:v>0.005917159763313609</x:v>
      </x:c>
    </x:row>
    <x:row r="91">
      <x:c r="A91" s="60" t="str">
        <x:v>2026-05-13</x:v>
      </x:c>
      <x:c r="B91" s="52" t="n">
        <x:v>212</x:v>
      </x:c>
      <x:c r="C91" s="52" t="n">
        <x:v>1</x:v>
      </x:c>
      <x:c r="D91" s="52" t="n">
        <x:v>1</x:v>
      </x:c>
      <x:c r="E91" s="65" t="n">
        <x:v>0.0047169811320754715</x:v>
      </x:c>
    </x:row>
    <x:row r="92">
      <x:c r="A92" s="60" t="str">
        <x:v>2026-05-14</x:v>
      </x:c>
      <x:c r="B92" s="52" t="n">
        <x:v>210</x:v>
      </x:c>
      <x:c r="C92" s="52" t="n">
        <x:v>2</x:v>
      </x:c>
      <x:c r="D92" s="52" t="n">
        <x:v>2</x:v>
      </x:c>
      <x:c r="E92" s="65" t="n">
        <x:v>0.009523809523809525</x:v>
      </x:c>
    </x:row>
    <x:row r="93">
      <x:c r="A93" s="60" t="str">
        <x:v>2026-05-15</x:v>
      </x:c>
      <x:c r="B93" s="52" t="n">
        <x:v>304</x:v>
      </x:c>
      <x:c r="C93" s="52" t="n">
        <x:v>7</x:v>
      </x:c>
      <x:c r="D93" s="52" t="n">
        <x:v>0</x:v>
      </x:c>
      <x:c r="E93" s="65" t="n">
        <x:v>0.023026315789473683</x:v>
      </x:c>
    </x:row>
    <x:row r="94">
      <x:c r="A94" s="60" t="str">
        <x:v>2026-05-16</x:v>
      </x:c>
      <x:c r="B94" s="52" t="n">
        <x:v>44890</x:v>
      </x:c>
      <x:c r="C94" s="52" t="n">
        <x:v>457</x:v>
      </x:c>
      <x:c r="D94" s="52" t="n">
        <x:v>117</x:v>
      </x:c>
      <x:c r="E94" s="65" t="n">
        <x:v>0.010180441078191134</x:v>
      </x:c>
    </x:row>
    <x:row r="95">
      <x:c r="A95" s="60" t="str">
        <x:v>2026-05-17</x:v>
      </x:c>
      <x:c r="B95" s="52" t="n">
        <x:v>72887</x:v>
      </x:c>
      <x:c r="C95" s="52" t="n">
        <x:v>778</x:v>
      </x:c>
      <x:c r="D95" s="52" t="n">
        <x:v>176</x:v>
      </x:c>
      <x:c r="E95" s="65" t="n">
        <x:v>0.010674057102089535</x:v>
      </x:c>
    </x:row>
    <x:row r="96">
      <x:c r="A96" s="60" t="str">
        <x:v>2026-05-18</x:v>
      </x:c>
      <x:c r="B96" s="52" t="n">
        <x:v>34134</x:v>
      </x:c>
      <x:c r="C96" s="52" t="n">
        <x:v>332</x:v>
      </x:c>
      <x:c r="D96" s="52" t="n">
        <x:v>67</x:v>
      </x:c>
      <x:c r="E96" s="65" t="n">
        <x:v>0.009726372531786489</x:v>
      </x:c>
    </x:row>
    <x:row r="97">
      <x:c r="A97" s="60" t="str">
        <x:v>2026-05-19</x:v>
      </x:c>
      <x:c r="B97" s="52" t="n">
        <x:v>11553</x:v>
      </x:c>
      <x:c r="C97" s="52" t="n">
        <x:v>95</x:v>
      </x:c>
      <x:c r="D97" s="52" t="n">
        <x:v>18</x:v>
      </x:c>
      <x:c r="E97" s="65" t="n">
        <x:v>0.008222972388124297</x:v>
      </x:c>
    </x:row>
    <x:row r="98">
      <x:c r="A98" s="60" t="str">
        <x:v>2026-05-20</x:v>
      </x:c>
      <x:c r="B98" s="52" t="n">
        <x:v>7173</x:v>
      </x:c>
      <x:c r="C98" s="52" t="n">
        <x:v>64</x:v>
      </x:c>
      <x:c r="D98" s="52" t="n">
        <x:v>18</x:v>
      </x:c>
      <x:c r="E98" s="65" t="n">
        <x:v>0.008922347692736652</x:v>
      </x:c>
    </x:row>
    <x:row r="99">
      <x:c r="A99" s="60" t="str">
        <x:v>2026-05-21</x:v>
      </x:c>
      <x:c r="B99" s="52" t="n">
        <x:v>3655</x:v>
      </x:c>
      <x:c r="C99" s="52" t="n">
        <x:v>35</x:v>
      </x:c>
      <x:c r="D99" s="52" t="n">
        <x:v>65</x:v>
      </x:c>
      <x:c r="E99" s="65" t="n">
        <x:v>0.009575923392612859</x:v>
      </x:c>
    </x:row>
    <x:row r="100">
      <x:c r="A100" s="60" t="str">
        <x:v>2026-05-22</x:v>
      </x:c>
      <x:c r="B100" s="52" t="n">
        <x:v>1223</x:v>
      </x:c>
      <x:c r="C100" s="52" t="n">
        <x:v>8</x:v>
      </x:c>
      <x:c r="D100" s="52" t="n">
        <x:v>34</x:v>
      </x:c>
      <x:c r="E100" s="65" t="n">
        <x:v>0.006541291905151268</x:v>
      </x:c>
    </x:row>
    <x:row r="101">
      <x:c r="A101" s="60" t="str">
        <x:v>2026-05-23</x:v>
      </x:c>
      <x:c r="B101" s="52" t="n">
        <x:v>225</x:v>
      </x:c>
      <x:c r="C101" s="52" t="n">
        <x:v>2</x:v>
      </x:c>
      <x:c r="D101" s="52" t="n">
        <x:v>0</x:v>
      </x:c>
      <x:c r="E101" s="65" t="n">
        <x:v>0.008888888888888889</x:v>
      </x:c>
    </x:row>
    <x:row r="102">
      <x:c r="A102" s="60" t="str">
        <x:v>2026-05-24</x:v>
      </x:c>
      <x:c r="B102" s="52" t="n">
        <x:v>194</x:v>
      </x:c>
      <x:c r="C102" s="52" t="n">
        <x:v>2</x:v>
      </x:c>
      <x:c r="D102" s="52" t="n">
        <x:v>12</x:v>
      </x:c>
      <x:c r="E102" s="65" t="n">
        <x:v>0.010309278350515464</x:v>
      </x:c>
    </x:row>
    <x:row r="103">
      <x:c r="A103" s="60" t="str">
        <x:v>2026-05-25</x:v>
      </x:c>
      <x:c r="B103" s="52" t="n">
        <x:v>383</x:v>
      </x:c>
      <x:c r="C103" s="52" t="n">
        <x:v>5</x:v>
      </x:c>
      <x:c r="D103" s="52" t="n">
        <x:v>3</x:v>
      </x:c>
      <x:c r="E103" s="65" t="n">
        <x:v>0.013054830287206266</x:v>
      </x:c>
    </x:row>
    <x:row r="104">
      <x:c r="A104" s="60" t="str">
        <x:v>2026-05-26</x:v>
      </x:c>
      <x:c r="B104" s="52" t="n">
        <x:v>404</x:v>
      </x:c>
      <x:c r="C104" s="52" t="n">
        <x:v>4</x:v>
      </x:c>
      <x:c r="D104" s="52" t="n">
        <x:v>3</x:v>
      </x:c>
      <x:c r="E104" s="65" t="n">
        <x:v>0.009900990099009901</x:v>
      </x:c>
    </x:row>
    <x:row r="105">
      <x:c r="A105" s="60" t="str">
        <x:v>2026-05-27</x:v>
      </x:c>
      <x:c r="B105" s="52" t="n">
        <x:v>318</x:v>
      </x:c>
      <x:c r="C105" s="52" t="n">
        <x:v>3</x:v>
      </x:c>
      <x:c r="D105" s="52" t="n">
        <x:v>2</x:v>
      </x:c>
      <x:c r="E105" s="65" t="n">
        <x:v>0.009433962264150943</x:v>
      </x:c>
    </x:row>
    <x:row r="106">
      <x:c r="A106" s="60" t="str">
        <x:v>2026-05-28</x:v>
      </x:c>
      <x:c r="B106" s="52" t="n">
        <x:v>279</x:v>
      </x:c>
      <x:c r="C106" s="52" t="n">
        <x:v>2</x:v>
      </x:c>
      <x:c r="D106" s="52" t="n">
        <x:v>4</x:v>
      </x:c>
      <x:c r="E106" s="65" t="n">
        <x:v>0.007168458781362007</x:v>
      </x:c>
    </x:row>
    <x:row r="107">
      <x:c r="A107" s="60" t="str">
        <x:v>2026-05-29</x:v>
      </x:c>
      <x:c r="B107" s="52" t="n">
        <x:v>237</x:v>
      </x:c>
      <x:c r="C107" s="52" t="n">
        <x:v>1</x:v>
      </x:c>
      <x:c r="D107" s="52" t="n">
        <x:v>1</x:v>
      </x:c>
      <x:c r="E107" s="65" t="n">
        <x:v>0.004219409282700422</x:v>
      </x:c>
    </x:row>
    <x:row r="108">
      <x:c r="A108" s="60" t="str">
        <x:v>2026-05-30</x:v>
      </x:c>
      <x:c r="B108" s="52" t="n">
        <x:v>117</x:v>
      </x:c>
      <x:c r="C108" s="52" t="n">
        <x:v>3</x:v>
      </x:c>
      <x:c r="D108" s="52" t="n">
        <x:v>0</x:v>
      </x:c>
      <x:c r="E108" s="65" t="n">
        <x:v>0.02564102564102564</x:v>
      </x:c>
    </x:row>
    <x:row r="109">
      <x:c r="A109" s="60" t="str">
        <x:v>2026-05-31</x:v>
      </x:c>
      <x:c r="B109" s="52" t="n">
        <x:v>140</x:v>
      </x:c>
      <x:c r="C109" s="52" t="n">
        <x:v>1</x:v>
      </x:c>
      <x:c r="D109" s="52" t="n">
        <x:v>1</x:v>
      </x:c>
      <x:c r="E109" s="65" t="n">
        <x:v>0.007142857142857143</x:v>
      </x:c>
    </x:row>
    <x:row r="110">
      <x:c r="A110" s="60" t="str">
        <x:v>2026-06-01</x:v>
      </x:c>
      <x:c r="B110" s="52" t="n">
        <x:v>207</x:v>
      </x:c>
      <x:c r="C110" s="52" t="n">
        <x:v>4</x:v>
      </x:c>
      <x:c r="D110" s="52" t="n">
        <x:v>2</x:v>
      </x:c>
      <x:c r="E110" s="65" t="n">
        <x:v>0.01932367149758454</x:v>
      </x:c>
    </x:row>
    <x:row r="111">
      <x:c r="A111" s="60" t="str">
        <x:v>2026-06-02</x:v>
      </x:c>
      <x:c r="B111" s="52" t="n">
        <x:v>264</x:v>
      </x:c>
      <x:c r="C111" s="52" t="n">
        <x:v>4</x:v>
      </x:c>
      <x:c r="D111" s="52" t="n">
        <x:v>2</x:v>
      </x:c>
      <x:c r="E111" s="65" t="n">
        <x:v>0.015151515151515152</x:v>
      </x:c>
    </x:row>
    <x:row r="112">
      <x:c r="A112" s="60" t="str">
        <x:v>2026-06-03</x:v>
      </x:c>
      <x:c r="B112" s="52" t="n">
        <x:v>254</x:v>
      </x:c>
      <x:c r="C112" s="52" t="n">
        <x:v>3</x:v>
      </x:c>
      <x:c r="D112" s="52" t="n">
        <x:v>3</x:v>
      </x:c>
      <x:c r="E112" s="65" t="n">
        <x:v>0.011811023622047244</x:v>
      </x:c>
    </x:row>
    <x:row r="113">
      <x:c r="A113" s="60" t="str">
        <x:v>2026-06-04</x:v>
      </x:c>
      <x:c r="B113" s="52" t="n">
        <x:v>245</x:v>
      </x:c>
      <x:c r="C113" s="52" t="n">
        <x:v>3</x:v>
      </x:c>
      <x:c r="D113" s="52" t="n">
        <x:v>2</x:v>
      </x:c>
      <x:c r="E113" s="65" t="n">
        <x:v>0.012244897959183673</x:v>
      </x:c>
    </x:row>
    <x:row r="114">
      <x:c r="A114" s="60" t="str">
        <x:v>2026-06-05</x:v>
      </x:c>
      <x:c r="B114" s="52" t="n">
        <x:v>199</x:v>
      </x:c>
      <x:c r="C114" s="52" t="n">
        <x:v>2</x:v>
      </x:c>
      <x:c r="D114" s="52" t="n">
        <x:v>0</x:v>
      </x:c>
      <x:c r="E114" s="65" t="n">
        <x:v>0.010050251256281407</x:v>
      </x:c>
    </x:row>
    <x:row r="115">
      <x:c r="A115" s="60" t="str">
        <x:v>2026-06-06</x:v>
      </x:c>
      <x:c r="B115" s="52" t="n">
        <x:v>301</x:v>
      </x:c>
      <x:c r="C115" s="52" t="n">
        <x:v>6</x:v>
      </x:c>
      <x:c r="D115" s="52" t="n">
        <x:v>2</x:v>
      </x:c>
      <x:c r="E115" s="65" t="n">
        <x:v>0.019933554817275746</x:v>
      </x:c>
    </x:row>
    <x:row r="116">
      <x:c r="A116" s="60" t="str">
        <x:v>2026-06-07</x:v>
      </x:c>
      <x:c r="B116" s="52" t="n">
        <x:v>276</x:v>
      </x:c>
      <x:c r="C116" s="52" t="n">
        <x:v>1</x:v>
      </x:c>
      <x:c r="D116" s="52" t="n">
        <x:v>1</x:v>
      </x:c>
      <x:c r="E116" s="65" t="n">
        <x:v>0.0036231884057971015</x:v>
      </x:c>
    </x:row>
    <x:row r="117">
      <x:c r="A117" s="60" t="str">
        <x:v>2026-06-08</x:v>
      </x:c>
      <x:c r="B117" s="52" t="n">
        <x:v>265</x:v>
      </x:c>
      <x:c r="C117" s="52" t="n">
        <x:v>4</x:v>
      </x:c>
      <x:c r="D117" s="52" t="n">
        <x:v>0</x:v>
      </x:c>
      <x:c r="E117" s="65" t="n">
        <x:v>0.01509433962264151</x:v>
      </x:c>
    </x:row>
    <x:row r="118">
      <x:c r="A118" s="60" t="str">
        <x:v>2026-06-09</x:v>
      </x:c>
      <x:c r="B118" s="52" t="n">
        <x:v>217</x:v>
      </x:c>
      <x:c r="C118" s="52" t="n">
        <x:v>1</x:v>
      </x:c>
      <x:c r="D118" s="52" t="n">
        <x:v>0</x:v>
      </x:c>
      <x:c r="E118" s="65" t="n">
        <x:v>0.004608294930875576</x:v>
      </x:c>
    </x:row>
    <x:row r="119">
      <x:c r="A119" s="60" t="str">
        <x:v>2026-06-10</x:v>
      </x:c>
      <x:c r="B119" s="52" t="n">
        <x:v>196</x:v>
      </x:c>
      <x:c r="C119" s="52" t="n">
        <x:v>2</x:v>
      </x:c>
      <x:c r="D119" s="52" t="n">
        <x:v>0</x:v>
      </x:c>
      <x:c r="E119" s="65" t="n">
        <x:v>0.01020408163265306</x:v>
      </x:c>
    </x:row>
    <x:row r="120">
      <x:c r="A120" s="60" t="str">
        <x:v>2026-06-11</x:v>
      </x:c>
      <x:c r="B120" s="52" t="n">
        <x:v>165</x:v>
      </x:c>
      <x:c r="C120" s="52" t="n">
        <x:v>1</x:v>
      </x:c>
      <x:c r="D120" s="52" t="n">
        <x:v>0</x:v>
      </x:c>
      <x:c r="E120" s="65" t="n">
        <x:v>0.006060606060606061</x:v>
      </x:c>
    </x:row>
    <x:row r="121">
      <x:c r="A121" s="60" t="str">
        <x:v>2026-06-12</x:v>
      </x:c>
      <x:c r="B121" s="52" t="n">
        <x:v>251</x:v>
      </x:c>
      <x:c r="C121" s="52" t="n">
        <x:v>1</x:v>
      </x:c>
      <x:c r="D121" s="52" t="n">
        <x:v>0</x:v>
      </x:c>
      <x:c r="E121" s="65" t="n">
        <x:v>0.00398406374501992</x:v>
      </x:c>
    </x:row>
    <x:row r="122">
      <x:c r="A122" s="60" t="str">
        <x:v>2026-06-13</x:v>
      </x:c>
      <x:c r="B122" s="52" t="n">
        <x:v>103</x:v>
      </x:c>
      <x:c r="C122" s="52" t="n">
        <x:v>1</x:v>
      </x:c>
      <x:c r="D122" s="52" t="n">
        <x:v>0</x:v>
      </x:c>
      <x:c r="E122" s="65" t="n">
        <x:v>0.009708737864077669</x:v>
      </x:c>
    </x:row>
    <x:row r="123">
      <x:c r="A123" s="60" t="str">
        <x:v>2026-06-14</x:v>
      </x:c>
      <x:c r="B123" s="52" t="n">
        <x:v>77</x:v>
      </x:c>
      <x:c r="C123" s="52" t="n">
        <x:v>0</x:v>
      </x:c>
      <x:c r="D123" s="52" t="n">
        <x:v>0</x:v>
      </x:c>
      <x:c r="E123" s="65" t="n">
        <x:v>0</x:v>
      </x:c>
    </x:row>
    <x:row r="124">
      <x:c r="A124" s="60" t="str">
        <x:v>2026-06-15</x:v>
      </x:c>
      <x:c r="B124" s="52" t="n">
        <x:v>80</x:v>
      </x:c>
      <x:c r="C124" s="52" t="n">
        <x:v>0</x:v>
      </x:c>
      <x:c r="D124" s="52" t="n">
        <x:v>2</x:v>
      </x:c>
      <x:c r="E124" s="65" t="n">
        <x:v>0</x:v>
      </x:c>
    </x:row>
    <x:row r="125">
      <x:c r="A125" s="60" t="str">
        <x:v>2026-06-16</x:v>
      </x:c>
      <x:c r="B125" s="52" t="n">
        <x:v>123</x:v>
      </x:c>
      <x:c r="C125" s="52" t="n">
        <x:v>1</x:v>
      </x:c>
      <x:c r="D125" s="52" t="n">
        <x:v>2</x:v>
      </x:c>
      <x:c r="E125" s="65" t="n">
        <x:v>0.008130081300813009</x:v>
      </x:c>
    </x:row>
    <x:row r="126">
      <x:c r="A126" s="60" t="str">
        <x:v>2026-06-17</x:v>
      </x:c>
      <x:c r="B126" s="52" t="n">
        <x:v>58</x:v>
      </x:c>
      <x:c r="C126" s="52" t="n">
        <x:v>0</x:v>
      </x:c>
      <x:c r="D126" s="52" t="n">
        <x:v>1</x:v>
      </x:c>
      <x:c r="E126" s="65" t="n">
        <x:v>0</x:v>
      </x:c>
    </x:row>
    <x:row r="127">
      <x:c r="A127" s="60" t="str">
        <x:v>2026-06-18</x:v>
      </x:c>
      <x:c r="B127" s="52" t="n">
        <x:v>73</x:v>
      </x:c>
      <x:c r="C127" s="52" t="n">
        <x:v>0</x:v>
      </x:c>
      <x:c r="D127" s="52" t="n">
        <x:v>0</x:v>
      </x:c>
      <x:c r="E127" s="65" t="n">
        <x:v>0</x:v>
      </x:c>
    </x:row>
    <x:row r="128">
      <x:c r="A128" s="60" t="str">
        <x:v>2026-06-19</x:v>
      </x:c>
      <x:c r="B128" s="52" t="n">
        <x:v>69</x:v>
      </x:c>
      <x:c r="C128" s="52" t="n">
        <x:v>0</x:v>
      </x:c>
      <x:c r="D128" s="52" t="n">
        <x:v>0</x:v>
      </x:c>
      <x:c r="E128" s="65" t="n">
        <x:v>0</x:v>
      </x:c>
    </x:row>
    <x:row r="129">
      <x:c r="A129" s="60" t="str">
        <x:v>2026-06-20</x:v>
      </x:c>
      <x:c r="B129" s="52" t="n">
        <x:v>56</x:v>
      </x:c>
      <x:c r="C129" s="52" t="n">
        <x:v>1</x:v>
      </x:c>
      <x:c r="D129" s="52" t="n">
        <x:v>0</x:v>
      </x:c>
      <x:c r="E129" s="65" t="n">
        <x:v>0.017857142857142856</x:v>
      </x:c>
    </x:row>
    <x:row r="130">
      <x:c r="A130" s="60" t="str">
        <x:v>2026-06-21</x:v>
      </x:c>
      <x:c r="B130" s="52" t="n">
        <x:v>91</x:v>
      </x:c>
      <x:c r="C130" s="52" t="n">
        <x:v>0</x:v>
      </x:c>
      <x:c r="D130" s="52" t="n">
        <x:v>0</x:v>
      </x:c>
      <x:c r="E130" s="65" t="n">
        <x:v>0</x:v>
      </x:c>
    </x:row>
    <x:row r="131">
      <x:c r="A131" s="60" t="str">
        <x:v>2026-06-22</x:v>
      </x:c>
      <x:c r="B131" s="52" t="n">
        <x:v>137</x:v>
      </x:c>
      <x:c r="C131" s="52" t="n">
        <x:v>1</x:v>
      </x:c>
      <x:c r="D131" s="52" t="n">
        <x:v>0</x:v>
      </x:c>
      <x:c r="E131" s="65" t="n">
        <x:v>0.0072992700729927005</x:v>
      </x:c>
    </x:row>
    <x:row r="132">
      <x:c r="A132" s="60" t="str">
        <x:v>2026-06-23</x:v>
      </x:c>
      <x:c r="B132" s="52" t="n">
        <x:v>172</x:v>
      </x:c>
      <x:c r="C132" s="52" t="n">
        <x:v>4</x:v>
      </x:c>
      <x:c r="D132" s="52" t="n">
        <x:v>0</x:v>
      </x:c>
      <x:c r="E132" s="65" t="n">
        <x:v>0.023255813953488372</x:v>
      </x:c>
    </x:row>
    <x:row r="133">
      <x:c r="A133" s="60" t="str">
        <x:v>2026-06-24</x:v>
      </x:c>
      <x:c r="B133" s="52" t="n">
        <x:v>73</x:v>
      </x:c>
      <x:c r="C133" s="52" t="n">
        <x:v>0</x:v>
      </x:c>
      <x:c r="D133" s="52" t="n">
        <x:v>0</x:v>
      </x:c>
      <x:c r="E133" s="65" t="n">
        <x:v>0</x:v>
      </x:c>
    </x:row>
    <x:row r="134">
      <x:c r="A134" s="60" t="str">
        <x:v>2026-06-25</x:v>
      </x:c>
      <x:c r="B134" s="52" t="n">
        <x:v>142</x:v>
      </x:c>
      <x:c r="C134" s="52" t="n">
        <x:v>4</x:v>
      </x:c>
      <x:c r="D134" s="52" t="n">
        <x:v>1</x:v>
      </x:c>
      <x:c r="E134" s="65" t="n">
        <x:v>0.028169014084507043</x:v>
      </x:c>
    </x:row>
    <x:row r="135">
      <x:c r="A135" s="60" t="str">
        <x:v>2026-06-26</x:v>
      </x:c>
      <x:c r="B135" s="52" t="n">
        <x:v>251</x:v>
      </x:c>
      <x:c r="C135" s="52" t="n">
        <x:v>3</x:v>
      </x:c>
      <x:c r="D135" s="52" t="n">
        <x:v>0</x:v>
      </x:c>
      <x:c r="E135" s="65" t="n">
        <x:v>0.01195219123505976</x:v>
      </x:c>
    </x:row>
    <x:row r="136">
      <x:c r="A136" s="60" t="str">
        <x:v>2026-06-27</x:v>
      </x:c>
      <x:c r="B136" s="52" t="n">
        <x:v>112</x:v>
      </x:c>
      <x:c r="C136" s="52" t="n">
        <x:v>1</x:v>
      </x:c>
      <x:c r="D136" s="52" t="n">
        <x:v>0</x:v>
      </x:c>
      <x:c r="E136" s="65" t="n">
        <x:v>0.008928571428571428</x:v>
      </x:c>
    </x:row>
    <x:row r="137">
      <x:c r="A137" s="60" t="str">
        <x:v>2026-06-28</x:v>
      </x:c>
      <x:c r="B137" s="52" t="n">
        <x:v>51</x:v>
      </x:c>
      <x:c r="C137" s="52" t="n">
        <x:v>1</x:v>
      </x:c>
      <x:c r="D137" s="52" t="n">
        <x:v>1</x:v>
      </x:c>
      <x:c r="E137" s="65" t="n">
        <x:v>0.0196078431372549</x:v>
      </x:c>
    </x:row>
    <x:row r="138">
      <x:c r="A138" s="60" t="str">
        <x:v>2026-06-29</x:v>
      </x:c>
      <x:c r="B138" s="52" t="n">
        <x:v>126</x:v>
      </x:c>
      <x:c r="C138" s="52" t="n">
        <x:v>1</x:v>
      </x:c>
      <x:c r="D138" s="52" t="n">
        <x:v>0</x:v>
      </x:c>
      <x:c r="E138" s="65" t="n">
        <x:v>0.007936507936507936</x:v>
      </x:c>
    </x:row>
    <x:row r="139">
      <x:c r="A139" s="60" t="str">
        <x:v>2026-06-30</x:v>
      </x:c>
      <x:c r="B139" s="52" t="n">
        <x:v>168</x:v>
      </x:c>
      <x:c r="C139" s="52" t="n">
        <x:v>3</x:v>
      </x:c>
      <x:c r="D139" s="52" t="n">
        <x:v>1</x:v>
      </x:c>
      <x:c r="E139" s="65" t="n">
        <x:v>0.017857142857142856</x:v>
      </x:c>
    </x:row>
    <x:row r="140">
      <x:c r="A140" s="60" t="str">
        <x:v>2026-07-01</x:v>
      </x:c>
      <x:c r="B140" s="52" t="n">
        <x:v>330</x:v>
      </x:c>
      <x:c r="C140" s="52" t="n">
        <x:v>2</x:v>
      </x:c>
      <x:c r="D140" s="52" t="n">
        <x:v>1</x:v>
      </x:c>
      <x:c r="E140" s="65" t="n">
        <x:v>0.006060606060606061</x:v>
      </x:c>
    </x:row>
    <x:row r="141">
      <x:c r="A141" s="60" t="str">
        <x:v>2026-07-02</x:v>
      </x:c>
      <x:c r="B141" s="52" t="n">
        <x:v>444</x:v>
      </x:c>
      <x:c r="C141" s="52" t="n">
        <x:v>1</x:v>
      </x:c>
      <x:c r="D141" s="52" t="n">
        <x:v>1</x:v>
      </x:c>
      <x:c r="E141" s="65" t="n">
        <x:v>0.0022522522522522522</x:v>
      </x:c>
    </x:row>
    <x:row r="142">
      <x:c r="A142" s="60" t="str">
        <x:v>2026-07-03</x:v>
      </x:c>
      <x:c r="B142" s="52" t="n">
        <x:v>1011</x:v>
      </x:c>
      <x:c r="C142" s="52" t="n">
        <x:v>1</x:v>
      </x:c>
      <x:c r="D142" s="52" t="n">
        <x:v>0</x:v>
      </x:c>
      <x:c r="E142" s="65" t="n">
        <x:v>0.0009891196834817012</x:v>
      </x:c>
    </x:row>
    <x:row r="143">
      <x:c r="A143" s="60" t="str">
        <x:v>2026-07-04</x:v>
      </x:c>
      <x:c r="B143" s="52" t="n">
        <x:v>341</x:v>
      </x:c>
      <x:c r="C143" s="52" t="n">
        <x:v>-3</x:v>
      </x:c>
      <x:c r="D143" s="52" t="n">
        <x:v>2</x:v>
      </x:c>
      <x:c r="E143" s="65" t="n">
        <x:v>-0.008797653958944282</x:v>
      </x:c>
    </x:row>
    <x:row r="144">
      <x:c r="A144" s="60" t="str">
        <x:v>2026-07-05</x:v>
      </x:c>
      <x:c r="B144" s="52" t="n">
        <x:v>224</x:v>
      </x:c>
      <x:c r="C144" s="52" t="n">
        <x:v>0</x:v>
      </x:c>
      <x:c r="D144" s="52" t="n">
        <x:v>1</x:v>
      </x:c>
      <x:c r="E144" s="65" t="n">
        <x:v>0</x:v>
      </x:c>
    </x:row>
    <x:row r="145">
      <x:c r="A145" s="60" t="str">
        <x:v>2026-07-06</x:v>
      </x:c>
      <x:c r="B145" s="52" t="n">
        <x:v>425</x:v>
      </x:c>
      <x:c r="C145" s="52" t="n">
        <x:v>3</x:v>
      </x:c>
      <x:c r="D145" s="52" t="n">
        <x:v>0</x:v>
      </x:c>
      <x:c r="E145" s="65" t="n">
        <x:v>0.007058823529411765</x:v>
      </x:c>
    </x:row>
    <x:row r="146">
      <x:c r="A146" s="60" t="str">
        <x:v>2026-07-07</x:v>
      </x:c>
      <x:c r="B146" s="52" t="n">
        <x:v>418</x:v>
      </x:c>
      <x:c r="C146" s="52" t="n">
        <x:v>13</x:v>
      </x:c>
      <x:c r="D146" s="52" t="n">
        <x:v>2</x:v>
      </x:c>
      <x:c r="E146" s="65" t="n">
        <x:v>0.03110047846889952</x:v>
      </x:c>
    </x:row>
    <x:row r="147">
      <x:c r="A147" s="60" t="str">
        <x:v>2026-07-08</x:v>
      </x:c>
      <x:c r="B147" s="52" t="n">
        <x:v>199</x:v>
      </x:c>
      <x:c r="C147" s="52" t="n">
        <x:v>0</x:v>
      </x:c>
      <x:c r="D147" s="52" t="n">
        <x:v>0</x:v>
      </x:c>
      <x:c r="E147" s="65" t="n">
        <x:v>0</x:v>
      </x:c>
    </x:row>
    <x:row r="148">
      <x:c r="A148" s="60" t="str">
        <x:v>2026-07-09</x:v>
      </x:c>
      <x:c r="B148" s="52" t="n">
        <x:v>95</x:v>
      </x:c>
      <x:c r="C148" s="52" t="n">
        <x:v>0</x:v>
      </x:c>
      <x:c r="D148" s="52" t="n">
        <x:v>0</x:v>
      </x:c>
      <x:c r="E148" s="65" t="n">
        <x:v>0</x:v>
      </x:c>
    </x:row>
    <x:row r="149">
      <x:c r="A149" s="60" t="str">
        <x:v>2026-07-10</x:v>
      </x:c>
      <x:c r="B149" s="52" t="n">
        <x:v>84</x:v>
      </x:c>
      <x:c r="C149" s="52" t="n">
        <x:v>2</x:v>
      </x:c>
      <x:c r="D149" s="52" t="n">
        <x:v>0</x:v>
      </x:c>
      <x:c r="E149" s="65" t="n">
        <x:v>0.023809523809523808</x:v>
      </x:c>
    </x:row>
    <x:row r="150">
      <x:c r="A150" s="60" t="str">
        <x:v>2026-07-11</x:v>
      </x:c>
      <x:c r="B150" s="52" t="n">
        <x:v>30</x:v>
      </x:c>
      <x:c r="C150" s="52" t="n">
        <x:v>1</x:v>
      </x:c>
      <x:c r="D150" s="52" t="n">
        <x:v>1</x:v>
      </x:c>
      <x:c r="E150" s="65" t="n">
        <x:v>0.03333333333333333</x:v>
      </x:c>
    </x:row>
    <x:row r="151">
      <x:c r="A151" s="60" t="str">
        <x:v>2026-07-12</x:v>
      </x:c>
      <x:c r="B151" s="52" t="n">
        <x:v>38</x:v>
      </x:c>
      <x:c r="C151" s="52" t="n">
        <x:v>0</x:v>
      </x:c>
      <x:c r="D151" s="52" t="n">
        <x:v>0</x:v>
      </x:c>
      <x:c r="E151" s="65" t="n">
        <x:v>0</x:v>
      </x:c>
    </x:row>
    <x:row r="152">
      <x:c r="A152" s="60" t="str">
        <x:v>2026-07-13</x:v>
      </x:c>
      <x:c r="B152" s="52" t="n">
        <x:v>14</x:v>
      </x:c>
      <x:c r="C152" s="52" t="n">
        <x:v>1</x:v>
      </x:c>
      <x:c r="D152" s="52" t="n">
        <x:v>0</x:v>
      </x:c>
      <x:c r="E152" s="65" t="n">
        <x:v>0.07142857142857142</x:v>
      </x:c>
    </x:row>
    <x:row r="153">
      <x:c r="A153" s="60" t="str">
        <x:v>2026-07-14</x:v>
      </x:c>
      <x:c r="B153" s="52" t="n">
        <x:v>176</x:v>
      </x:c>
      <x:c r="C153" s="52" t="n">
        <x:v>4</x:v>
      </x:c>
      <x:c r="D153" s="52" t="n">
        <x:v>1</x:v>
      </x:c>
      <x:c r="E153" s="65" t="n">
        <x:v>0.022727272727272728</x:v>
      </x:c>
    </x:row>
    <x:row r="154">
      <x:c r="A154" s="60" t="str">
        <x:v>2026-07-15</x:v>
      </x:c>
      <x:c r="B154" s="52" t="n">
        <x:v>170</x:v>
      </x:c>
      <x:c r="C154" s="52" t="n">
        <x:v>3</x:v>
      </x:c>
      <x:c r="D154" s="52" t="n">
        <x:v>1</x:v>
      </x:c>
      <x:c r="E154" s="65" t="n">
        <x:v>0.01764705882352941</x:v>
      </x:c>
    </x:row>
    <x:row r="155">
      <x:c r="A155" s="60" t="str">
        <x:v>2026-07-16</x:v>
      </x:c>
      <x:c r="B155" s="52" t="n">
        <x:v>123</x:v>
      </x:c>
      <x:c r="C155" s="52" t="n">
        <x:v>6</x:v>
      </x:c>
      <x:c r="D155" s="52" t="n">
        <x:v>0</x:v>
      </x:c>
      <x:c r="E155" s="65" t="n">
        <x:v>0.04878048780487805</x:v>
      </x:c>
    </x:row>
    <x:row r="156">
      <x:c r="A156" s="60" t="str">
        <x:v>2026-07-17</x:v>
      </x:c>
      <x:c r="B156" s="52" t="n">
        <x:v>150</x:v>
      </x:c>
      <x:c r="C156" s="52" t="n">
        <x:v>2</x:v>
      </x:c>
      <x:c r="D156" s="52" t="n">
        <x:v>2</x:v>
      </x:c>
      <x:c r="E156" s="65" t="n">
        <x:v>0.013333333333333334</x:v>
      </x:c>
    </x:row>
    <x:row r="157">
      <x:c r="A157" s="60" t="str">
        <x:v>2026-07-18</x:v>
      </x:c>
      <x:c r="B157" s="52" t="n">
        <x:v>78</x:v>
      </x:c>
      <x:c r="C157" s="52" t="n">
        <x:v>0</x:v>
      </x:c>
      <x:c r="D157" s="52" t="n">
        <x:v>2</x:v>
      </x:c>
      <x:c r="E157" s="65" t="n">
        <x:v>0</x:v>
      </x:c>
    </x:row>
    <x:row r="158">
      <x:c r="A158" s="60" t="str">
        <x:v>2026-07-19</x:v>
      </x:c>
      <x:c r="B158" s="52" t="n">
        <x:v>72</x:v>
      </x:c>
      <x:c r="C158" s="52" t="n">
        <x:v>0</x:v>
      </x:c>
      <x:c r="D158" s="52" t="n">
        <x:v>0</x:v>
      </x:c>
      <x:c r="E158" s="65" t="n">
        <x:v>0</x:v>
      </x:c>
    </x:row>
    <x:row r="159">
      <x:c r="A159" s="60" t="str">
        <x:v>2026-07-20</x:v>
      </x:c>
      <x:c r="B159" s="52" t="n">
        <x:v>267</x:v>
      </x:c>
      <x:c r="C159" s="52" t="n">
        <x:v>3</x:v>
      </x:c>
      <x:c r="D159" s="52" t="n">
        <x:v>1</x:v>
      </x:c>
      <x:c r="E159" s="65" t="n">
        <x:v>0.011235955056179775</x:v>
      </x:c>
    </x:row>
    <x:row r="160">
      <x:c r="A160" s="60" t="str">
        <x:v>2026-07-21</x:v>
      </x:c>
      <x:c r="B160" s="52" t="n">
        <x:v>81</x:v>
      </x:c>
      <x:c r="C160" s="52" t="n">
        <x:v>1</x:v>
      </x:c>
      <x:c r="D160" s="52" t="n">
        <x:v>0</x:v>
      </x:c>
      <x:c r="E160" s="65" t="n">
        <x:v>0.012345679012345678</x:v>
      </x:c>
    </x:row>
    <x:row r="161">
      <x:c r="A161" s="60" t="str">
        <x:v>2026-07-22</x:v>
      </x:c>
      <x:c r="B161" s="52" t="n">
        <x:v>69</x:v>
      </x:c>
      <x:c r="C161" s="52" t="n">
        <x:v>0</x:v>
      </x:c>
      <x:c r="D161" s="52" t="n">
        <x:v>0</x:v>
      </x:c>
      <x:c r="E161" s="65" t="n">
        <x:v>0</x:v>
      </x:c>
    </x:row>
    <x:row r="162">
      <x:c r="A162" s="60" t="str">
        <x:v>2026-07-23</x:v>
      </x:c>
      <x:c r="B162" s="52" t="n">
        <x:v>61</x:v>
      </x:c>
      <x:c r="C162" s="52" t="n">
        <x:v>0</x:v>
      </x:c>
      <x:c r="D162" s="52" t="n">
        <x:v>0</x:v>
      </x:c>
      <x:c r="E162" s="65" t="n">
        <x:v>0</x:v>
      </x:c>
    </x:row>
    <x:row r="163">
      <x:c r="A163" s="60" t="str">
        <x:v>2026-07-24</x:v>
      </x:c>
      <x:c r="B163" s="52" t="n">
        <x:v>33</x:v>
      </x:c>
      <x:c r="C163" s="52" t="n">
        <x:v>0</x:v>
      </x:c>
      <x:c r="D163" s="52" t="n">
        <x:v>0</x:v>
      </x:c>
      <x:c r="E163" s="65" t="n">
        <x:v>0</x:v>
      </x:c>
    </x:row>
    <x:row r="164">
      <x:c r="A164" s="60" t="str">
        <x:v>2026-07-25</x:v>
      </x:c>
      <x:c r="B164" s="52" t="n">
        <x:v>13</x:v>
      </x:c>
      <x:c r="C164" s="52" t="n">
        <x:v>0</x:v>
      </x:c>
      <x:c r="D164" s="52" t="n">
        <x:v>0</x:v>
      </x:c>
      <x:c r="E164" s="65" t="n">
        <x:v>0</x:v>
      </x:c>
    </x:row>
    <x:row r="165">
      <x:c r="A165" s="60" t="str">
        <x:v>2026-07-26</x:v>
      </x:c>
      <x:c r="B165" s="52" t="n">
        <x:v>14</x:v>
      </x:c>
      <x:c r="C165" s="52" t="n">
        <x:v>0</x:v>
      </x:c>
      <x:c r="D165" s="52" t="n">
        <x:v>0</x:v>
      </x:c>
      <x:c r="E165" s="65" t="n">
        <x:v>0</x:v>
      </x:c>
    </x:row>
    <x:row r="166">
      <x:c r="A166" s="60" t="str">
        <x:v>2026-07-27</x:v>
      </x:c>
      <x:c r="B166" s="52" t="n">
        <x:v>15</x:v>
      </x:c>
      <x:c r="C166" s="52" t="n">
        <x:v>0</x:v>
      </x:c>
      <x:c r="D166" s="52" t="n">
        <x:v>0</x:v>
      </x:c>
      <x:c r="E166" s="65" t="n">
        <x:v>0</x:v>
      </x:c>
    </x:row>
  </x:sheetData>
  <x:mergeCells>
    <x:mergeCell ref="A1:E1"/>
  </x:mergeCells>
  <x:pageMargins left="0.7" right="0.7" top="0.75" bottom="0.75" header="0.3" footer="0.3"/>
  <x:tableParts count="1">
    <x:tablePart xmlns:r="http://schemas.openxmlformats.org/officeDocument/2006/relationships" r:id="R3cb490b6a2cc4f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20" hidden="0" customWidth="1"/>
  </x:cols>
  <x:sheetData>
    <x:row r="1" ht="34" customHeight="1">
      <x:c r="A1" s="3" t="str">
        <x:v>Tiger Audience — Current LinkedIn Demographics</x:v>
      </x:c>
      <x:c r="B1" s="3"/>
      <x:c r="C1" s="3"/>
    </x:row>
    <x:row r="3">
      <x:c r="A3" s="6" t="str">
        <x:v>Shares are copied exactly from the platform export, including '&lt; 1%'. They describe the current reached/follower audience; they are not a target-audience guarantee.</x:v>
      </x:c>
      <x:c r="B3" s="6"/>
      <x:c r="C3" s="6"/>
    </x:row>
    <x:row r="5">
      <x:c r="A5" t="str">
        <x:v>dimension</x:v>
      </x:c>
      <x:c r="B5" t="str">
        <x:v>value</x:v>
      </x:c>
      <x:c r="C5" t="str">
        <x:v>exported_share</x:v>
      </x:c>
    </x:row>
    <x:row r="6">
      <x:c r="A6" t="str">
        <x:v>Company</x:v>
      </x:c>
      <x:c r="B6" t="str">
        <x:v>Tetra Pak</x:v>
      </x:c>
      <x:c r="C6" t="str">
        <x:v>11%</x:v>
      </x:c>
    </x:row>
    <x:row r="7">
      <x:c r="A7" t="str">
        <x:v>Company</x:v>
      </x:c>
      <x:c r="B7" t="str">
        <x:v>A.P. Moller - Maersk</x:v>
      </x:c>
      <x:c r="C7" t="str">
        <x:v>2%</x:v>
      </x:c>
    </x:row>
    <x:row r="8">
      <x:c r="A8" t="str">
        <x:v>Company</x:v>
      </x:c>
      <x:c r="B8" t="str">
        <x:v>Amazon</x:v>
      </x:c>
      <x:c r="C8" t="str">
        <x:v>&lt; 1%</x:v>
      </x:c>
    </x:row>
    <x:row r="9">
      <x:c r="A9" t="str">
        <x:v>Company</x:v>
      </x:c>
      <x:c r="B9" t="str">
        <x:v>IKEA</x:v>
      </x:c>
      <x:c r="C9" t="str">
        <x:v>&lt; 1%</x:v>
      </x:c>
    </x:row>
    <x:row r="10">
      <x:c r="A10" t="str">
        <x:v>Company</x:v>
      </x:c>
      <x:c r="B10" t="str">
        <x:v>Accenture</x:v>
      </x:c>
      <x:c r="C10" t="str">
        <x:v>&lt; 1%</x:v>
      </x:c>
    </x:row>
    <x:row r="11">
      <x:c r="A11" t="str">
        <x:v>Company</x:v>
      </x:c>
      <x:c r="B11" t="str">
        <x:v>Alfa Laval</x:v>
      </x:c>
      <x:c r="C11" t="str">
        <x:v>&lt; 1%</x:v>
      </x:c>
    </x:row>
    <x:row r="12">
      <x:c r="A12" t="str">
        <x:v>Company</x:v>
      </x:c>
      <x:c r="B12" t="str">
        <x:v>MSC Mediterranean Shipping Company</x:v>
      </x:c>
      <x:c r="C12" t="str">
        <x:v>&lt; 1%</x:v>
      </x:c>
    </x:row>
    <x:row r="13">
      <x:c r="A13" t="str">
        <x:v>Location</x:v>
      </x:c>
      <x:c r="B13" t="str">
        <x:v>Greater Bengaluru Area</x:v>
      </x:c>
      <x:c r="C13" t="str">
        <x:v>13%</x:v>
      </x:c>
    </x:row>
    <x:row r="14">
      <x:c r="A14" t="str">
        <x:v>Location</x:v>
      </x:c>
      <x:c r="B14" t="str">
        <x:v>Greater Malmö Metropolitan Area</x:v>
      </x:c>
      <x:c r="C14" t="str">
        <x:v>9%</x:v>
      </x:c>
    </x:row>
    <x:row r="15">
      <x:c r="A15" t="str">
        <x:v>Location</x:v>
      </x:c>
      <x:c r="B15" t="str">
        <x:v>Mumbai Metropolitan Region</x:v>
      </x:c>
      <x:c r="C15" t="str">
        <x:v>3%</x:v>
      </x:c>
    </x:row>
    <x:row r="16">
      <x:c r="A16" t="str">
        <x:v>Location</x:v>
      </x:c>
      <x:c r="B16" t="str">
        <x:v>Greater Modena Metropolitan Area</x:v>
      </x:c>
      <x:c r="C16" t="str">
        <x:v>2%</x:v>
      </x:c>
    </x:row>
    <x:row r="17">
      <x:c r="A17" t="str">
        <x:v>Location</x:v>
      </x:c>
      <x:c r="B17" t="str">
        <x:v>Greater Stockholm Metropolitan Area</x:v>
      </x:c>
      <x:c r="C17" t="str">
        <x:v>2%</x:v>
      </x:c>
    </x:row>
    <x:row r="18">
      <x:c r="A18" t="str">
        <x:v>Location</x:v>
      </x:c>
      <x:c r="B18" t="str">
        <x:v>Greater Delhi Area</x:v>
      </x:c>
      <x:c r="C18" t="str">
        <x:v>2%</x:v>
      </x:c>
    </x:row>
    <x:row r="19">
      <x:c r="A19" t="str">
        <x:v>Location</x:v>
      </x:c>
      <x:c r="B19" t="str">
        <x:v>San Francisco Bay Area</x:v>
      </x:c>
      <x:c r="C19" t="str">
        <x:v>2%</x:v>
      </x:c>
    </x:row>
    <x:row r="20">
      <x:c r="A20" t="str">
        <x:v>Location</x:v>
      </x:c>
      <x:c r="B20" t="str">
        <x:v>Greater Toronto Area, Canada</x:v>
      </x:c>
      <x:c r="C20" t="str">
        <x:v>2%</x:v>
      </x:c>
    </x:row>
    <x:row r="21">
      <x:c r="A21" t="str">
        <x:v>Location</x:v>
      </x:c>
      <x:c r="B21" t="str">
        <x:v>New York City Metropolitan Area</x:v>
      </x:c>
      <x:c r="C21" t="str">
        <x:v>1%</x:v>
      </x:c>
    </x:row>
    <x:row r="22">
      <x:c r="A22" t="str">
        <x:v>Company size</x:v>
      </x:c>
      <x:c r="B22" t="str">
        <x:v>10,001+ employees</x:v>
      </x:c>
      <x:c r="C22" t="str">
        <x:v>38%</x:v>
      </x:c>
    </x:row>
    <x:row r="23">
      <x:c r="A23" t="str">
        <x:v>Company size</x:v>
      </x:c>
      <x:c r="B23" t="str">
        <x:v>1,001-5,000 employees</x:v>
      </x:c>
      <x:c r="C23" t="str">
        <x:v>10%</x:v>
      </x:c>
    </x:row>
    <x:row r="24">
      <x:c r="A24" t="str">
        <x:v>Company size</x:v>
      </x:c>
      <x:c r="B24" t="str">
        <x:v>51-200 employees</x:v>
      </x:c>
      <x:c r="C24" t="str">
        <x:v>8%</x:v>
      </x:c>
    </x:row>
    <x:row r="25">
      <x:c r="A25" t="str">
        <x:v>Company size</x:v>
      </x:c>
      <x:c r="B25" t="str">
        <x:v>11-50 employees</x:v>
      </x:c>
      <x:c r="C25" t="str">
        <x:v>6%</x:v>
      </x:c>
    </x:row>
    <x:row r="26">
      <x:c r="A26" t="str">
        <x:v>Company size</x:v>
      </x:c>
      <x:c r="B26" t="str">
        <x:v>201-500 employees</x:v>
      </x:c>
      <x:c r="C26" t="str">
        <x:v>6%</x:v>
      </x:c>
    </x:row>
    <x:row r="27">
      <x:c r="A27" t="str">
        <x:v>Company size</x:v>
      </x:c>
      <x:c r="B27" t="str">
        <x:v>2-10 employees</x:v>
      </x:c>
      <x:c r="C27" t="str">
        <x:v>5%</x:v>
      </x:c>
    </x:row>
    <x:row r="28">
      <x:c r="A28" t="str">
        <x:v>Company size</x:v>
      </x:c>
      <x:c r="B28" t="str">
        <x:v>5,001-10,000 employees</x:v>
      </x:c>
      <x:c r="C28" t="str">
        <x:v>5%</x:v>
      </x:c>
    </x:row>
    <x:row r="29">
      <x:c r="A29" t="str">
        <x:v>Company size</x:v>
      </x:c>
      <x:c r="B29" t="str">
        <x:v>501-1,000 employees</x:v>
      </x:c>
      <x:c r="C29" t="str">
        <x:v>5%</x:v>
      </x:c>
    </x:row>
    <x:row r="30">
      <x:c r="A30" t="str">
        <x:v>Company size</x:v>
      </x:c>
      <x:c r="B30" t="str">
        <x:v>0-1 employees</x:v>
      </x:c>
      <x:c r="C30" t="str">
        <x:v>&lt; 1%</x:v>
      </x:c>
    </x:row>
    <x:row r="31">
      <x:c r="A31" t="str">
        <x:v>Seniority</x:v>
      </x:c>
      <x:c r="B31" t="str">
        <x:v>Senior</x:v>
      </x:c>
      <x:c r="C31" t="str">
        <x:v>41%</x:v>
      </x:c>
    </x:row>
    <x:row r="32">
      <x:c r="A32" t="str">
        <x:v>Seniority</x:v>
      </x:c>
      <x:c r="B32" t="str">
        <x:v>Entry</x:v>
      </x:c>
      <x:c r="C32" t="str">
        <x:v>17%</x:v>
      </x:c>
    </x:row>
    <x:row r="33">
      <x:c r="A33" t="str">
        <x:v>Seniority</x:v>
      </x:c>
      <x:c r="B33" t="str">
        <x:v>Manager</x:v>
      </x:c>
      <x:c r="C33" t="str">
        <x:v>10%</x:v>
      </x:c>
    </x:row>
    <x:row r="34">
      <x:c r="A34" t="str">
        <x:v>Seniority</x:v>
      </x:c>
      <x:c r="B34" t="str">
        <x:v>Director</x:v>
      </x:c>
      <x:c r="C34" t="str">
        <x:v>10%</x:v>
      </x:c>
    </x:row>
    <x:row r="35">
      <x:c r="A35" t="str">
        <x:v>Seniority</x:v>
      </x:c>
      <x:c r="B35" t="str">
        <x:v>VP</x:v>
      </x:c>
      <x:c r="C35" t="str">
        <x:v>2%</x:v>
      </x:c>
    </x:row>
    <x:row r="36">
      <x:c r="A36" t="str">
        <x:v>Seniority</x:v>
      </x:c>
      <x:c r="B36" t="str">
        <x:v>Owner</x:v>
      </x:c>
      <x:c r="C36" t="str">
        <x:v>2%</x:v>
      </x:c>
    </x:row>
    <x:row r="37">
      <x:c r="A37" t="str">
        <x:v>Seniority</x:v>
      </x:c>
      <x:c r="B37" t="str">
        <x:v>CXO</x:v>
      </x:c>
      <x:c r="C37" t="str">
        <x:v>2%</x:v>
      </x:c>
    </x:row>
    <x:row r="38">
      <x:c r="A38" t="str">
        <x:v>Seniority</x:v>
      </x:c>
      <x:c r="B38" t="str">
        <x:v>Partner</x:v>
      </x:c>
      <x:c r="C38" t="str">
        <x:v>2%</x:v>
      </x:c>
    </x:row>
    <x:row r="39">
      <x:c r="A39" t="str">
        <x:v>Seniority</x:v>
      </x:c>
      <x:c r="B39" t="str">
        <x:v>Training</x:v>
      </x:c>
      <x:c r="C39" t="str">
        <x:v>2%</x:v>
      </x:c>
    </x:row>
    <x:row r="40">
      <x:c r="A40" t="str">
        <x:v>Job title</x:v>
      </x:c>
      <x:c r="B40" t="str">
        <x:v>Supply Chain Manager</x:v>
      </x:c>
      <x:c r="C40" t="str">
        <x:v>2%</x:v>
      </x:c>
    </x:row>
    <x:row r="41">
      <x:c r="A41" t="str">
        <x:v>Job title</x:v>
      </x:c>
      <x:c r="B41" t="str">
        <x:v>Supply Chain Specialist</x:v>
      </x:c>
      <x:c r="C41" t="str">
        <x:v>2%</x:v>
      </x:c>
    </x:row>
    <x:row r="42">
      <x:c r="A42" t="str">
        <x:v>Job title</x:v>
      </x:c>
      <x:c r="B42" t="str">
        <x:v>Founder</x:v>
      </x:c>
      <x:c r="C42" t="str">
        <x:v>2%</x:v>
      </x:c>
    </x:row>
    <x:row r="43">
      <x:c r="A43" t="str">
        <x:v>Job title</x:v>
      </x:c>
      <x:c r="B43" t="str">
        <x:v>Product Manager</x:v>
      </x:c>
      <x:c r="C43" t="str">
        <x:v>1%</x:v>
      </x:c>
    </x:row>
    <x:row r="44">
      <x:c r="A44" t="str">
        <x:v>Job title</x:v>
      </x:c>
      <x:c r="B44" t="str">
        <x:v>Operational Specialist</x:v>
      </x:c>
      <x:c r="C44" t="str">
        <x:v>1%</x:v>
      </x:c>
    </x:row>
    <x:row r="45">
      <x:c r="A45" t="str">
        <x:v>Job title</x:v>
      </x:c>
      <x:c r="B45" t="str">
        <x:v>Operations Manager</x:v>
      </x:c>
      <x:c r="C45" t="str">
        <x:v>&lt; 1%</x:v>
      </x:c>
    </x:row>
    <x:row r="46">
      <x:c r="A46" t="str">
        <x:v>Job title</x:v>
      </x:c>
      <x:c r="B46" t="str">
        <x:v>Supply Chain Director</x:v>
      </x:c>
      <x:c r="C46" t="str">
        <x:v>&lt; 1%</x:v>
      </x:c>
    </x:row>
    <x:row r="47">
      <x:c r="A47" t="str">
        <x:v>Job title</x:v>
      </x:c>
      <x:c r="B47" t="str">
        <x:v>Software Engineer</x:v>
      </x:c>
      <x:c r="C47" t="str">
        <x:v>&lt; 1%</x:v>
      </x:c>
    </x:row>
    <x:row r="48">
      <x:c r="A48" t="str">
        <x:v>Job title</x:v>
      </x:c>
      <x:c r="B48" t="str">
        <x:v>Project Manager</x:v>
      </x:c>
      <x:c r="C48" t="str">
        <x:v>&lt; 1%</x:v>
      </x:c>
    </x:row>
    <x:row r="49">
      <x:c r="A49" t="str">
        <x:v>Industry</x:v>
      </x:c>
      <x:c r="B49" t="str">
        <x:v>Transportation, Logistics, Supply Chain and Storage</x:v>
      </x:c>
      <x:c r="C49" t="str">
        <x:v>21%</x:v>
      </x:c>
    </x:row>
    <x:row r="50">
      <x:c r="A50" t="str">
        <x:v>Industry</x:v>
      </x:c>
      <x:c r="B50" t="str">
        <x:v>Packaging and Containers Manufacturing</x:v>
      </x:c>
      <x:c r="C50" t="str">
        <x:v>6%</x:v>
      </x:c>
    </x:row>
    <x:row r="51">
      <x:c r="A51" t="str">
        <x:v>Industry</x:v>
      </x:c>
      <x:c r="B51" t="str">
        <x:v>IT Services and IT Consulting</x:v>
      </x:c>
      <x:c r="C51" t="str">
        <x:v>4%</x:v>
      </x:c>
    </x:row>
    <x:row r="52">
      <x:c r="A52" t="str">
        <x:v>Industry</x:v>
      </x:c>
      <x:c r="B52" t="str">
        <x:v>Business Consulting and Services</x:v>
      </x:c>
      <x:c r="C52" t="str">
        <x:v>4%</x:v>
      </x:c>
    </x:row>
    <x:row r="53">
      <x:c r="A53" t="str">
        <x:v>Industry</x:v>
      </x:c>
      <x:c r="B53" t="str">
        <x:v>Industrial Machinery Manufacturing</x:v>
      </x:c>
      <x:c r="C53" t="str">
        <x:v>4%</x:v>
      </x:c>
    </x:row>
    <x:row r="54">
      <x:c r="A54" t="str">
        <x:v>Industry</x:v>
      </x:c>
      <x:c r="B54" t="str">
        <x:v>Manufacturing</x:v>
      </x:c>
      <x:c r="C54" t="str">
        <x:v>3%</x:v>
      </x:c>
    </x:row>
    <x:row r="55">
      <x:c r="A55" t="str">
        <x:v>Industry</x:v>
      </x:c>
      <x:c r="B55" t="str">
        <x:v>Food and Beverage Services</x:v>
      </x:c>
      <x:c r="C55" t="str">
        <x:v>3%</x:v>
      </x:c>
    </x:row>
    <x:row r="56">
      <x:c r="A56" t="str">
        <x:v>Industry</x:v>
      </x:c>
      <x:c r="B56" t="str">
        <x:v>Technology, Information and Internet</x:v>
      </x:c>
      <x:c r="C56" t="str">
        <x:v>3%</x:v>
      </x:c>
    </x:row>
    <x:row r="57">
      <x:c r="A57" t="str">
        <x:v>Industry</x:v>
      </x:c>
      <x:c r="B57" t="str">
        <x:v>Software Development</x:v>
      </x:c>
      <x:c r="C57" t="str">
        <x:v>2%</x:v>
      </x:c>
    </x:row>
    <x:row r="58">
      <x:c r="A58" t="str">
        <x:v>Industry</x:v>
      </x:c>
      <x:c r="B58" t="str">
        <x:v>Retail</x:v>
      </x:c>
      <x:c r="C58" t="str">
        <x:v>2%</x:v>
      </x:c>
    </x:row>
  </x:sheetData>
  <x:mergeCells>
    <x:mergeCell ref="A1:C1"/>
    <x:mergeCell ref="A3:C3"/>
  </x:mergeCells>
  <x:pageMargins left="0.7" right="0.7" top="0.75" bottom="0.75" header="0.3" footer="0.3"/>
  <x:tableParts count="1">
    <x:tablePart xmlns:r="http://schemas.openxmlformats.org/officeDocument/2006/relationships" r:id="R36b29bb5aae943c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58" hidden="0" customWidth="1"/>
    <x:col min="4" max="4" width="20" hidden="0" customWidth="1"/>
    <x:col min="5" max="5" width="18" hidden="0" customWidth="1"/>
    <x:col min="6" max="6" width="45" hidden="0" customWidth="1"/>
    <x:col min="7" max="7" width="20" hidden="0" customWidth="1"/>
    <x:col min="8" max="8" width="16" hidden="0" customWidth="1"/>
    <x:col min="9" max="9" width="16" hidden="0" customWidth="1"/>
    <x:col min="10" max="10" width="16" hidden="0" customWidth="1"/>
    <x:col min="11" max="11" width="16" hidden="0" customWidth="1"/>
    <x:col min="12" max="12" width="28"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 min="19" max="19" width="22" hidden="0" customWidth="1"/>
    <x:col min="20" max="20" width="22" hidden="0" customWidth="1"/>
    <x:col min="21" max="21" width="22" hidden="0" customWidth="1"/>
    <x:col min="22" max="22" width="36" hidden="0" customWidth="1"/>
    <x:col min="23" max="23" width="22" hidden="0" customWidth="1"/>
    <x:col min="24" max="24" width="22" hidden="0" customWidth="1"/>
    <x:col min="25" max="25" width="22" hidden="0" customWidth="1"/>
  </x:cols>
  <x:sheetData>
    <x:row r="1">
      <x:c r="A1" s="68" t="str">
        <x:v>reference_id</x:v>
      </x:c>
      <x:c r="B1" s="68" t="str">
        <x:v>source_workbook_row</x:v>
      </x:c>
      <x:c r="C1" s="68" t="str">
        <x:v>caption_full</x:v>
      </x:c>
      <x:c r="D1" s="68" t="str">
        <x:v>caption_sha256</x:v>
      </x:c>
      <x:c r="E1" s="68" t="str">
        <x:v>local_asset_name</x:v>
      </x:c>
      <x:c r="F1" s="68" t="str">
        <x:v>local_asset_path</x:v>
      </x:c>
      <x:c r="G1" s="68" t="str">
        <x:v>asset_sha256</x:v>
      </x:c>
      <x:c r="H1" s="68" t="str">
        <x:v>asset_present</x:v>
      </x:c>
      <x:c r="I1" s="68" t="str">
        <x:v>duplicate_group</x:v>
      </x:c>
      <x:c r="J1" s="68" t="str">
        <x:v>resolution_status</x:v>
      </x:c>
      <x:c r="K1" s="68" t="str">
        <x:v>confidence</x:v>
      </x:c>
      <x:c r="L1" s="68" t="str">
        <x:v>actual_posting_author</x:v>
      </x:c>
      <x:c r="M1" s="68" t="str">
        <x:v>actual_author_profile_url</x:v>
      </x:c>
      <x:c r="N1" s="68" t="str">
        <x:v>exact_post_url</x:v>
      </x:c>
      <x:c r="O1" s="68" t="str">
        <x:v>publication_date</x:v>
      </x:c>
      <x:c r="P1" s="68" t="str">
        <x:v>credited_source_creator</x:v>
      </x:c>
      <x:c r="Q1" s="68" t="str">
        <x:v>credited_source_profile_url</x:v>
      </x:c>
      <x:c r="R1" s="68" t="str">
        <x:v>visual_owner_or_org</x:v>
      </x:c>
      <x:c r="S1" s="68" t="str">
        <x:v>transfer_class</x:v>
      </x:c>
      <x:c r="T1" s="68" t="str">
        <x:v>track_a_overlap</x:v>
      </x:c>
      <x:c r="U1" s="68" t="str">
        <x:v>resolution_evidence_url</x:v>
      </x:c>
      <x:c r="V1" s="68" t="str">
        <x:v>resolution_evidence_note</x:v>
      </x:c>
      <x:c r="W1" s="68" t="str">
        <x:v>needs_exact_post_fetch</x:v>
      </x:c>
      <x:c r="X1" s="68" t="str">
        <x:v>success_provenance</x:v>
      </x:c>
      <x:c r="Y1" s="68" t="str">
        <x:v>notes</x:v>
      </x:c>
    </x:row>
    <x:row r="2" ht="24" customHeight="1">
      <x:c r="A2" s="69" t="n">
        <x:v>1</x:v>
      </x:c>
      <x:c r="B2" s="69" t="n">
        <x:v>3</x:v>
      </x:c>
      <x:c r="C2" s="70" t="str">
        <x:v>85% of leaders regretted a major decision last year.
I've coached 650+ CEOs.
Every one of them has been there.
And I have too, of course.
The decision that keeps you up at 2am.
The one you overthought until the window closed.
The one you rushed when you should have slowed down.
The gap between a good call and a costly one is preparation.
The best CEOs pick their decision tool before the pressure hits.
7 decision frameworks worth keeping close:
1/ The Eisenhower Matrix
→ Sort by urgency and importance
→ Do it, schedule it, delegate it, or delete it
2/ The OODA Loop
→ Observe, Orient, Decide, Act
→ Built for fighter pilots. Works for fast markets.
3/ One-Way vs. Two-Way Doors
→ Reversible? Move fast.
→ Irreversible? Slow down.
4/ The ICE Method
→ Score options by Impact, Confidence, and Ease
→ Pick the highest score. Stop debating.
5/ The SPADE Framework
→ One person decides. Everyone else is heard.
→ Kills the "who's actually in charge" problem.
6/ The Premortem
→ Assume the decision already failed
→ Work backward. Fix it before you commit.
7/ The 10/10/10 Rule
→ How will you feel in 10 minutes, 10 months, 10 years?
→ Strips the emotion out of the decision.
That last one is the one I lean on most.
10 minutes in, you're scared.
10 months later, you're glad you did it.
10 years later, you've made that call 20 times.
You're bulletproof.
What's your go-to framework for tough decisions?
♻️ Repost to help a leader in your network.
P.S. 📌 Want hi-res PDFs of this and all my cheat sheets?
Try my free newsletter: https://lnkd.in/eksFWrNs
You'll get 100+ leadership cheat sheets for free.
(Stat source: Oracle)</x:v>
      </x:c>
      <x:c r="D2" s="61" t="str">
        <x:v>837a8e8ad8417c1201d2ea5204213e8cd55b7c6e7bbef409a44f3f45d364efa8</x:v>
      </x:c>
      <x:c r="E2" s="61" t="str">
        <x:v>1.jpeg</x:v>
      </x:c>
      <x:c r="F2" s="61" t="str">
        <x:v>/Users/tigershetty/Documents/Codex/2026-06-30/ho/Codex-Linkedin-V3/infographic-setup/references/top 100/1.jpeg</x:v>
      </x:c>
      <x:c r="G2" s="61" t="str">
        <x:v>136e261d892fe732a25ff95960d4d2f5caf34bd51d8acf187664a1d9f3c9cdbe</x:v>
      </x:c>
      <x:c r="H2" s="64" t="b">
        <x:v>1</x:v>
      </x:c>
      <x:c r="I2" s="61" t="str">
        <x:v>dup_001</x:v>
      </x:c>
      <x:c r="J2" s="61" t="str">
        <x:v>resolved</x:v>
      </x:c>
      <x:c r="K2" s="61" t="str">
        <x:v>high</x:v>
      </x:c>
      <x:c r="L2" s="61" t="str">
        <x:v>Eric Partaker</x:v>
      </x:c>
      <x:c r="M2" s="61" t="str">
        <x:v>https://www.linkedin.com/in/ericpartaker</x:v>
      </x:c>
      <x:c r="N2" s="61" t="str">
        <x:v>https://www.linkedin.com/posts/ericpartaker_85-of-leaders-regretted-a-major-decision-activity-7471169532758355968-c7NH</x:v>
      </x:c>
      <x:c r="O2" s="62" t="str">
        <x:v>2026-06-12</x:v>
      </x:c>
      <x:c r="P2" s="61" t="str">
        <x:v>Eric Partaker</x:v>
      </x:c>
      <x:c r="Q2" s="61" t="str"/>
      <x:c r="R2" s="61" t="str">
        <x:v>Eric Partaker</x:v>
      </x:c>
      <x:c r="S2" s="61" t="str">
        <x:v>external_transferable</x:v>
      </x:c>
      <x:c r="T2" s="61" t="str">
        <x:v>no</x:v>
      </x:c>
      <x:c r="U2" s="61" t="str">
        <x:v>https://www.linkedin.com/posts/ericpartaker_85-of-leaders-regretted-a-major-decision-activity-7471169532758355968-c7NH</x:v>
      </x:c>
      <x:c r="V2" s="22" t="str">
        <x:v>Exact caption and visual match; duplicate of reference 63.</x:v>
      </x:c>
      <x:c r="W2" s="61" t="str">
        <x:v>no</x:v>
      </x:c>
      <x:c r="X2" s="61" t="str">
        <x:v>curated_top100_workbook</x:v>
      </x:c>
      <x:c r="Y2" s="22" t="str"/>
    </x:row>
    <x:row r="3" ht="24" customHeight="1">
      <x:c r="A3" s="69" t="n">
        <x:v>2</x:v>
      </x:c>
      <x:c r="B3" s="69" t="n">
        <x:v>4</x:v>
      </x:c>
      <x:c r="C3" s="70" t="str">
        <x:v>ERP in manufacturing is more than a back-office system.
It becomes powerful when it connects planning, inventory, procurement, execution, cost, and supply chain visibility in one flow.
Without ERP discipline, teams often face wrong production priorities, inaccurate stock, delayed purchasing, manual updates, poor cost visibility, and disconnected departments.
Here’s how ERP supports manufacturing:
→ 𝗣𝗿𝗼𝗱𝘂𝗰𝘁𝗶𝗼𝗻 𝗣𝗹𝗮𝗻𝗻𝗶𝗻𝗴
Create realistic schedules by balancing materials, labor, and capacity.
Start by reviewing open orders and identifying immediate production priorities.
→ 𝗜𝗻𝘃𝗲𝗻𝘁𝗼𝗿𝘆 𝗠𝗮𝗻𝗮𝗴𝗲𝗺𝗲𝗻𝘁
Track materials accurately across warehouses and production.
Start by identifying fast-moving, slow-moving, and critical inventory items.
→ 𝗣𝗿𝗼𝗰𝘂𝗿𝗲𝗺𝗲𝗻𝘁 𝗠𝗮𝗻𝗮𝗴𝗲𝗺𝗲𝗻𝘁
Manage purchasing from supplier selection to delivery.
Start by standardizing supplier records and approved vendor information.
→ 𝗠𝗮𝗻𝘂𝗳𝗮𝗰𝘁𝘂𝗿𝗶𝗻𝗴 𝗘𝘅𝗲𝗰𝘂𝘁𝗶𝗼𝗻
Track production orders from release to completion.
Start by connecting work orders with routing and resources.
→ 𝗖𝗼𝘀𝘁 &amp; 𝗙𝗶𝗻𝗮𝗻𝗰𝗶𝗮𝗹 𝗖𝗼𝗻𝘁𝗿𝗼𝗹
Understand product costs and manufacturing profitability.
Start by breaking costs into material, labor, and overhead.
→ 𝗦𝘂𝗽𝗽𝗹𝘆 𝗖𝗵𝗮𝗶𝗻 𝗩𝗶𝘀𝗶𝗯𝗶𝗹𝗶𝘁𝘆
Connect suppliers, inventory, production, and customer demand.
Start by mapping critical supply chain dependencies and bottlenecks.
The common mistake?
Using ERP as a record-keeping system instead of an operational control system.
The real value comes when ERP data reflects what is actually happening on the shop floor.
Save this if you work with ERP, manufacturing, supply chain, production planning, or operations.
For a deep dive into PLM, MES, or CAD and to elevate your understanding of PLM, connect with us at PLMCOACH and Follow Anup Karumanchi for more such information.</x:v>
      </x:c>
      <x:c r="D3" s="61" t="str">
        <x:v>233cae3fc55f4dd41d8915866e915e2fa84aa15d2b241268876239230fd38a3d</x:v>
      </x:c>
      <x:c r="E3" s="61" t="str">
        <x:v>2.gif</x:v>
      </x:c>
      <x:c r="F3" s="61" t="str">
        <x:v>/Users/tigershetty/Documents/Codex/2026-06-30/ho/Codex-Linkedin-V3/infographic-setup/references/top 100/2.gif</x:v>
      </x:c>
      <x:c r="G3" s="61" t="str">
        <x:v>cf82a8a7352031921a1ad1322f3ae338741f224c9ef1a8944c32f940b96b2680</x:v>
      </x:c>
      <x:c r="H3" s="64" t="b">
        <x:v>1</x:v>
      </x:c>
      <x:c r="I3" s="61"/>
      <x:c r="J3" s="61" t="str">
        <x:v>resolved</x:v>
      </x:c>
      <x:c r="K3" s="61" t="str">
        <x:v>high</x:v>
      </x:c>
      <x:c r="L3" s="61" t="str">
        <x:v>Anup Karumanchi</x:v>
      </x:c>
      <x:c r="M3" s="61" t="str">
        <x:v>https://www.linkedin.com/in/anupkarumanchi</x:v>
      </x:c>
      <x:c r="N3" s="61" t="str">
        <x:v>https://www.linkedin.com/posts/anupkarumanchi_erp-in-manufacturing-is-more-than-a-back-office-activity-7470744054700589057-5b_x</x:v>
      </x:c>
      <x:c r="O3" s="62" t="str">
        <x:v>2026-06-11</x:v>
      </x:c>
      <x:c r="P3" s="61" t="str">
        <x:v>Anup Karumanchi</x:v>
      </x:c>
      <x:c r="Q3" s="61" t="str"/>
      <x:c r="R3" s="61" t="str">
        <x:v>PLMCOACH / Anup Karumanchi</x:v>
      </x:c>
      <x:c r="S3" s="61" t="str">
        <x:v>direct_scm</x:v>
      </x:c>
      <x:c r="T3" s="61" t="str">
        <x:v>no</x:v>
      </x:c>
      <x:c r="U3" s="61" t="str">
        <x:v>https://www.linkedin.com/posts/anupkarumanchi_erp-in-manufacturing-is-more-than-a-back-office-activity-7470744054700589057-5b_x</x:v>
      </x:c>
      <x:c r="V3" s="22" t="str">
        <x:v>Exact caption and original-author match; canonical original permalink recovered from LinkedIn public evidence.</x:v>
      </x:c>
      <x:c r="W3" s="61" t="str">
        <x:v>no</x:v>
      </x:c>
      <x:c r="X3" s="61" t="str">
        <x:v>curated_top100_workbook</x:v>
      </x:c>
      <x:c r="Y3" s="22" t="str"/>
    </x:row>
    <x:row r="4" ht="24" customHeight="1">
      <x:c r="A4" s="69" t="n">
        <x:v>3</x:v>
      </x:c>
      <x:c r="B4" s="69" t="n">
        <x:v>5</x:v>
      </x:c>
      <x:c r="C4" s="70" t="str">
        <x:v>You don't need to code to have a website.</x:v>
      </x:c>
      <x:c r="D4" s="61" t="str">
        <x:v>e966e6affe1f922d8fddc1c89a191ef1495fb7493ca3a675b18d89a154c5cd8a</x:v>
      </x:c>
      <x:c r="E4" s="61" t="str">
        <x:v>3.jpeg</x:v>
      </x:c>
      <x:c r="F4" s="61" t="str">
        <x:v>/Users/tigershetty/Documents/Codex/2026-06-30/ho/Codex-Linkedin-V3/infographic-setup/references/top 100/3.jpeg</x:v>
      </x:c>
      <x:c r="G4" s="61" t="str">
        <x:v>e590a44dbb91a405b6124d0ba20f38714ca947001a0e3befca3d55429efc9276</x:v>
      </x:c>
      <x:c r="H4" s="64" t="b">
        <x:v>1</x:v>
      </x:c>
      <x:c r="I4" s="61"/>
      <x:c r="J4" s="61" t="str">
        <x:v>resolved</x:v>
      </x:c>
      <x:c r="K4" s="61" t="str">
        <x:v>high</x:v>
      </x:c>
      <x:c r="L4" s="61" t="str">
        <x:v>Fatima Khan</x:v>
      </x:c>
      <x:c r="M4" s="61" t="str">
        <x:v>https://www.linkedin.com/in/fatima-rasheed-khan</x:v>
      </x:c>
      <x:c r="N4" s="61" t="str">
        <x:v>https://www.linkedin.com/posts/fatima-rasheed-khan_replitpartner-activity-7470414535900876800-6uJb</x:v>
      </x:c>
      <x:c r="O4" s="62" t="str">
        <x:v>2026-06-10</x:v>
      </x:c>
      <x:c r="P4" s="61" t="str">
        <x:v>Fatima Khan</x:v>
      </x:c>
      <x:c r="Q4" s="61" t="str"/>
      <x:c r="R4" s="61" t="str">
        <x:v>Fatima Khan</x:v>
      </x:c>
      <x:c r="S4" s="61" t="str">
        <x:v>implementation_adjacent</x:v>
      </x:c>
      <x:c r="T4" s="61" t="str">
        <x:v>no</x:v>
      </x:c>
      <x:c r="U4" s="61" t="str">
        <x:v>https://www.linkedin.com/posts/fatima-rasheed-khan_replitpartner-activity-7470414535900876800-6uJb</x:v>
      </x:c>
      <x:c r="V4" s="22" t="str">
        <x:v>Exact caption and visual match.</x:v>
      </x:c>
      <x:c r="W4" s="61" t="str">
        <x:v>no</x:v>
      </x:c>
      <x:c r="X4" s="61" t="str">
        <x:v>curated_top100_workbook</x:v>
      </x:c>
      <x:c r="Y4" s="22" t="str"/>
    </x:row>
    <x:row r="5" ht="24" customHeight="1">
      <x:c r="A5" s="69" t="n">
        <x:v>4</x:v>
      </x:c>
      <x:c r="B5" s="69" t="n">
        <x:v>6</x:v>
      </x:c>
      <x:c r="C5" s="70" t="str">
        <x:v>Everyone thinks the highest-paid writers:
• Ghostwrite books
• Create social content
• Craft speeches for leaders
But the highest-paid ghostwriters I know write something people hardly ever talk about:
Email.
In the last 5 years, email is the channel that's helped me generate over $20,000,000 in sales.
And it's the one marketing channel MILLIONS of businesses desperately need help with.
So I packaged my entire email system into 5 plug-and-play Claude Skills.
Inside, my Email Ghostwriting Claude Skills Pack you'll find:
1. Welcome Sequence. Onboards new subscribers and primes them to buy.
2. Pre-Launch Sequence. Fixes the "Education Deficit" so that subscribers are ready to buy once you send the Launch Sequence.
3. Product Launch Sequence. The money-making sequence that uses customer psychology (bonuses, testimonials, urgency) &amp; more to sell any kind of product.
4. Abandoned Cart Sequence. This dismantles price, time, and readiness objections for people who are about to buy.
5. Book-A-Call Sequence. Turns interested leads into booked calls for SaaS and service companies.
Want all 5?
Comment "EMAIL"
And I'll send them across ASAP.
(If we're not connected, send me a connection request with the word "EMAIL" so I can DM you.)</x:v>
      </x:c>
      <x:c r="D5" s="61" t="str">
        <x:v>cae435b2dff5d5733fa312e8c261070684e4f9cd4cebc55b9f6fa028a4a542f0</x:v>
      </x:c>
      <x:c r="E5" s="61" t="str">
        <x:v>4.jpeg</x:v>
      </x:c>
      <x:c r="F5" s="61" t="str">
        <x:v>/Users/tigershetty/Documents/Codex/2026-06-30/ho/Codex-Linkedin-V3/infographic-setup/references/top 100/4.jpeg</x:v>
      </x:c>
      <x:c r="G5" s="61" t="str">
        <x:v>c43f2399680ca3d499b82b6ab11f9dd5329f2c466bf8a1d8ffb1ea4661e6855d</x:v>
      </x:c>
      <x:c r="H5" s="64" t="b">
        <x:v>1</x:v>
      </x:c>
      <x:c r="I5" s="61"/>
      <x:c r="J5" s="61" t="str">
        <x:v>resolved</x:v>
      </x:c>
      <x:c r="K5" s="61" t="str">
        <x:v>high</x:v>
      </x:c>
      <x:c r="L5" s="61" t="str">
        <x:v>Nicolas Cole</x:v>
      </x:c>
      <x:c r="M5" s="61" t="str">
        <x:v>https://www.linkedin.com/in/nicolascole</x:v>
      </x:c>
      <x:c r="N5" s="61" t="str"/>
      <x:c r="O5" s="62"/>
      <x:c r="P5" s="61" t="str">
        <x:v>Dickie Bush and Nicolas Cole</x:v>
      </x:c>
      <x:c r="Q5" s="61" t="str"/>
      <x:c r="R5" s="61" t="str">
        <x:v>Premium Ghostwriting Academy</x:v>
      </x:c>
      <x:c r="S5" s="61" t="str">
        <x:v>external_transferable</x:v>
      </x:c>
      <x:c r="T5" s="61" t="str">
        <x:v>no</x:v>
      </x:c>
      <x:c r="U5" s="61" t="str"/>
      <x:c r="V5" s="22" t="str">
        <x:v>Exact caption indexed under Nicolas Cole; cover carries joint PGA credit; permalink unresolved.</x:v>
      </x:c>
      <x:c r="W5" s="61" t="str">
        <x:v>yes</x:v>
      </x:c>
      <x:c r="X5" s="61" t="str">
        <x:v>curated_top100_workbook</x:v>
      </x:c>
      <x:c r="Y5" s="22" t="str"/>
    </x:row>
    <x:row r="6" ht="24" customHeight="1">
      <x:c r="A6" s="69" t="n">
        <x:v>5</x:v>
      </x:c>
      <x:c r="B6" s="69" t="n">
        <x:v>7</x:v>
      </x:c>
      <x:c r="C6" s="70" t="str">
        <x:v>Most stockouts aren't a supply problem.
They're a math problem.
Every inventory manager answers 2 questions daily:
→ How much to order?
→ When to order it?
Get it wrong:
↳ dead stock or empty shelves.
Get it right:
↳ the operation breathes.
It comes down to 3 numbers most people never calculate:
▸ EOQ
→ how much to order
▸ Reorder Point
→ when to order next
▸ Safety Stock
→ your buffer for surprises
15 years across grain, pharma, dairy &amp; FMCG
taught me one thing:
The best managers don't guess.
They run these 3 numbers.
So I put all 3 on one card:
formulas, plain meaning, and a worked example.
Save it for your next planning cycle.
P.S. What's one inventory metric you wish you learned earlier?
———
Follow TARIQ ZAMAN for more warehouse &amp; logistics insights.
Repost and save it for later if it helped ♻</x:v>
      </x:c>
      <x:c r="D6" s="61" t="str">
        <x:v>747b53dabce43931cade5ce3f2c0172f5fc3c884c04b61d441da15ecf065fc3d</x:v>
      </x:c>
      <x:c r="E6" s="61" t="str">
        <x:v>5.jpeg</x:v>
      </x:c>
      <x:c r="F6" s="61" t="str">
        <x:v>/Users/tigershetty/Documents/Codex/2026-06-30/ho/Codex-Linkedin-V3/infographic-setup/references/top 100/5.jpeg</x:v>
      </x:c>
      <x:c r="G6" s="61" t="str">
        <x:v>700ffb053a586bd3d5f7d8e0703d49f17da07e9b7bc29ba62da24395e43d262e</x:v>
      </x:c>
      <x:c r="H6" s="64" t="b">
        <x:v>1</x:v>
      </x:c>
      <x:c r="I6" s="61"/>
      <x:c r="J6" s="61" t="str">
        <x:v>resolved</x:v>
      </x:c>
      <x:c r="K6" s="61" t="str">
        <x:v>high</x:v>
      </x:c>
      <x:c r="L6" s="61" t="str">
        <x:v>Tariq Zaman</x:v>
      </x:c>
      <x:c r="M6" s="61" t="str">
        <x:v>https://www.linkedin.com/in/tariq-zaman-pak</x:v>
      </x:c>
      <x:c r="N6" s="61" t="str"/>
      <x:c r="O6" s="62"/>
      <x:c r="P6" s="61" t="str">
        <x:v>Tariq Zaman</x:v>
      </x:c>
      <x:c r="Q6" s="61" t="str"/>
      <x:c r="R6" s="61" t="str">
        <x:v>Tariq Zaman</x:v>
      </x:c>
      <x:c r="S6" s="61" t="str">
        <x:v>direct_scm</x:v>
      </x:c>
      <x:c r="T6" s="61" t="str">
        <x:v>no</x:v>
      </x:c>
      <x:c r="U6" s="61" t="str"/>
      <x:c r="V6" s="22" t="str">
        <x:v>Visual explicitly identifies author; permalink unresolved.</x:v>
      </x:c>
      <x:c r="W6" s="61" t="str">
        <x:v>yes</x:v>
      </x:c>
      <x:c r="X6" s="61" t="str">
        <x:v>curated_top100_workbook</x:v>
      </x:c>
      <x:c r="Y6" s="22" t="str"/>
    </x:row>
    <x:row r="7" ht="24" customHeight="1">
      <x:c r="A7" s="69" t="n">
        <x:v>6</x:v>
      </x:c>
      <x:c r="B7" s="69" t="n">
        <x:v>8</x:v>
      </x:c>
      <x:c r="C7" s="70" t="str"/>
      <x:c r="D7" s="61" t="str">
        <x:v>e3b0c44298fc1c149afbf4c8996fb92427ae41e4649b934ca495991b7852b855</x:v>
      </x:c>
      <x:c r="E7" s="61" t="str"/>
      <x:c r="F7" s="61" t="str"/>
      <x:c r="G7" s="61" t="str"/>
      <x:c r="H7" s="64" t="b">
        <x:v>0</x:v>
      </x:c>
      <x:c r="I7" s="61"/>
      <x:c r="J7" s="61" t="str">
        <x:v>unavailable</x:v>
      </x:c>
      <x:c r="K7" s="61" t="str">
        <x:v>unresolved</x:v>
      </x:c>
      <x:c r="L7" s="61" t="str"/>
      <x:c r="M7" s="61" t="str"/>
      <x:c r="N7" s="61" t="str"/>
      <x:c r="O7" s="62"/>
      <x:c r="P7" s="61" t="str"/>
      <x:c r="Q7" s="61" t="str"/>
      <x:c r="R7" s="61" t="str"/>
      <x:c r="S7" s="61" t="str">
        <x:v>unresolved</x:v>
      </x:c>
      <x:c r="T7" s="61" t="str">
        <x:v>unverified</x:v>
      </x:c>
      <x:c r="U7" s="61" t="str"/>
      <x:c r="V7" s="22" t="str">
        <x:v>No local caption or image is available, so the case cannot be resolved without inventing an identity.</x:v>
      </x:c>
      <x:c r="W7" s="61" t="str">
        <x:v>unverified</x:v>
      </x:c>
      <x:c r="X7" s="61" t="str">
        <x:v>curated_top100_workbook</x:v>
      </x:c>
      <x:c r="Y7" s="22" t="str"/>
    </x:row>
    <x:row r="8" ht="24" customHeight="1">
      <x:c r="A8" s="69" t="n">
        <x:v>7</x:v>
      </x:c>
      <x:c r="B8" s="69" t="n">
        <x:v>9</x:v>
      </x:c>
      <x:c r="C8" s="70" t="str">
        <x:v>7 thinking models.
$5 trillion in market cap built on them.
Better decisions come from better models.
These 7 leaders each used a different one
to build some of the biggest companies on earth.
I teach them to my CEO clients.
Now I’m sharing them with you.
Here are the 7 models behind their biggest calls:
1/ Future-Back Thinking
- Indra Nooyi, PepsiCo
↳ Start with where your industry will be in 10 years.
↳ Work backwards to set today's plan.
2/ First-Principles Thinking
- Elon Musk, Tesla &amp; SpaceX
↳ Strip away every assumption.
↳ Rebuild using only what you can prove is true.
3/ Constraint Thinking
- Lisa Su, AMD
↳ Limited resources force clarity on where you can win.
↳ Pick one market. Send your best people there.
4/ Asymmetric-Bet Thinking
- Reed Hastings, Netflix
↳ Only bet when the upside dwarfs the risk.
↳ Cut the even bets. Double down where it's 10x.
5/ Zero-Based Thinking
- Mary Barra, GM
↳ If your company started today, what would you build?
↳ Kill one legacy assumption this quarter.
6/ Inversion Thinking
- Charlie Munger, Berkshire Hathaway
↳ Ask what would guarantee failure.
↳ Then build your plan to prevent it.
7/ Stress-Test Thinking
- Jamie Dimon, JPMorgan Chase
↳ Test your strategy against the worst case.
↳ If it breaks under pressure, fix it first.
You already have the instincts.
These models give them structure.
Pick one. Use it on your next big decision.
That's where better strategy starts.
Which model would you reach for first?
Share below.
Want a PDF of my How to Think Like an Elite CEO cheat sheet?
Get it free: https://lnkd.in/dHCPTXxS
♻️ Repost to help a CEO in your network.
- - - 
P.S. Want my 16 best strategy frameworks?
Get my Strategy Book in One Page for free:
https://lnkd.in/dWBg6F4t</x:v>
      </x:c>
      <x:c r="D8" s="61" t="str">
        <x:v>916a1881685c5222293ad7a2921671e555fd353b5d8e587f87246e1041f2e21c</x:v>
      </x:c>
      <x:c r="E8" s="61" t="str">
        <x:v>7.jpeg</x:v>
      </x:c>
      <x:c r="F8" s="61" t="str">
        <x:v>/Users/tigershetty/Documents/Codex/2026-06-30/ho/Codex-Linkedin-V3/infographic-setup/references/top 100/7.jpeg</x:v>
      </x:c>
      <x:c r="G8" s="61" t="str">
        <x:v>39e0285fdf91ac491c7cd34a2f7541aff97f84f961f5576c435d0b0962dd5e5f</x:v>
      </x:c>
      <x:c r="H8" s="64" t="b">
        <x:v>1</x:v>
      </x:c>
      <x:c r="I8" s="61"/>
      <x:c r="J8" s="61" t="str">
        <x:v>resolved</x:v>
      </x:c>
      <x:c r="K8" s="61" t="str">
        <x:v>high</x:v>
      </x:c>
      <x:c r="L8" s="61" t="str">
        <x:v>Eric Partaker</x:v>
      </x:c>
      <x:c r="M8" s="61" t="str">
        <x:v>https://www.linkedin.com/in/ericpartaker</x:v>
      </x:c>
      <x:c r="N8" s="61" t="str">
        <x:v>https://www.linkedin.com/posts/activity-7470082425780424705-jFD1</x:v>
      </x:c>
      <x:c r="O8" s="62" t="str">
        <x:v>2026-06-09</x:v>
      </x:c>
      <x:c r="P8" s="61" t="str">
        <x:v>Eric Partaker</x:v>
      </x:c>
      <x:c r="Q8" s="61" t="str"/>
      <x:c r="R8" s="61" t="str">
        <x:v>Eric Partaker</x:v>
      </x:c>
      <x:c r="S8" s="61" t="str">
        <x:v>external_transferable</x:v>
      </x:c>
      <x:c r="T8" s="61" t="str">
        <x:v>no</x:v>
      </x:c>
      <x:c r="U8" s="61" t="str">
        <x:v>https://www.linkedin.com/posts/activity-7470082425780424705-jFD1</x:v>
      </x:c>
      <x:c r="V8" s="22" t="str">
        <x:v>Exact caption and visual match.</x:v>
      </x:c>
      <x:c r="W8" s="61" t="str">
        <x:v>no</x:v>
      </x:c>
      <x:c r="X8" s="61" t="str">
        <x:v>curated_top100_workbook</x:v>
      </x:c>
      <x:c r="Y8" s="22" t="str"/>
    </x:row>
    <x:row r="9" ht="24" customHeight="1">
      <x:c r="A9" s="69" t="n">
        <x:v>8</x:v>
      </x:c>
      <x:c r="B9" s="69" t="n">
        <x:v>10</x:v>
      </x:c>
      <x:c r="C9" s="70" t="str">
        <x:v>90% of companies stall before they’re able to scale.
Not because the market changed.
Not because the team isn’t capable.
And certainly not because they lack vision.
They stall because their operations can’t keep up with their growth.
I’ve seen it over and over.
The CEO is still making too many decisions.
Processes live in people’s heads.
Everyone’s working hard, but execution is inconsistent.
So the team starts spinning.
Firefighting replaces focus.
And big goals turn into reactive checklists.
When that happens, the fix isn’t more hustle.
It’s operational discipline.
But here’s the part most people miss:
Operational excellence isn’t one big change.
It’s a layered process. Built step by step.
You start with standardization.
Create one clear way to do the work. No more “everyone has their own method.”
Then you move to automation.
Eliminate repetitive tasks. Free up time for deeper work.
Next comes measurement.
Track the right numbers. Make them visible. Let the data guide your decisions.
Then, layer in continuous improvement.
Small weekly fixes. Fast iterations. Constant learning.
Only then are you ready for real innovation.
Not chaos disguised as creativity. Bold ideas that stick, scale, and move the business forward.
This isn’t a theory.
It’s how strong, sustainable companies actually scale.
From startups to 8-figure teams, the pattern is the same.
Build the layers in order.
Tighten the engine before you step on the gas.
Save this for when growth gets messy.
Share it with your ops lead.
Use it to make your business run smoother than ever.
Curious... where do you think most teams stall?
♻️ Repost to help a leader in your network.
—
P.S. 📣 Ready to become a world-class CEO?
Apply now to the Founder &amp; CEO Accelerator
Limited spots available. Learn more:
https://lnkd.in/enG4XmRt
P.S. Want a PDF of my Operational Excellence Cheat Sheet?
Get it free here: https://lnkd.in/e5MBq3-x</x:v>
      </x:c>
      <x:c r="D9" s="61" t="str">
        <x:v>b722c117db959c97a59fcbb8d345f80abf02bad57fb7d2ffc1b91616da087f34</x:v>
      </x:c>
      <x:c r="E9" s="61" t="str">
        <x:v>8.jpeg</x:v>
      </x:c>
      <x:c r="F9" s="61" t="str">
        <x:v>/Users/tigershetty/Documents/Codex/2026-06-30/ho/Codex-Linkedin-V3/infographic-setup/references/top 100/8.jpeg</x:v>
      </x:c>
      <x:c r="G9" s="61" t="str">
        <x:v>6da38b7735da5818e51ccee8107cf5fc7be633281557700fe194df12ea085e4b</x:v>
      </x:c>
      <x:c r="H9" s="64" t="b">
        <x:v>1</x:v>
      </x:c>
      <x:c r="I9" s="61"/>
      <x:c r="J9" s="61" t="str">
        <x:v>resolved</x:v>
      </x:c>
      <x:c r="K9" s="61" t="str">
        <x:v>high</x:v>
      </x:c>
      <x:c r="L9" s="61" t="str">
        <x:v>Eric Partaker</x:v>
      </x:c>
      <x:c r="M9" s="61" t="str">
        <x:v>https://www.linkedin.com/in/ericpartaker</x:v>
      </x:c>
      <x:c r="N9" s="61" t="str">
        <x:v>https://www.linkedin.com/posts/ericpartaker_90-of-companies-stall-before-they-can-scale-activity-7397257478574325761-hiVl</x:v>
      </x:c>
      <x:c r="O9" s="62" t="str">
        <x:v>2025-11-20</x:v>
      </x:c>
      <x:c r="P9" s="61" t="str">
        <x:v>Eric Partaker</x:v>
      </x:c>
      <x:c r="Q9" s="61" t="str"/>
      <x:c r="R9" s="61" t="str">
        <x:v>Eric Partaker</x:v>
      </x:c>
      <x:c r="S9" s="61" t="str">
        <x:v>external_transferable</x:v>
      </x:c>
      <x:c r="T9" s="61" t="str">
        <x:v>no</x:v>
      </x:c>
      <x:c r="U9" s="61" t="str">
        <x:v>https://www.linkedin.com/posts/ericpartaker_90-of-companies-stall-before-they-can-scale-activity-7397257478574325761-hiVl</x:v>
      </x:c>
      <x:c r="V9" s="22" t="str">
        <x:v>Exact caption and visual match.</x:v>
      </x:c>
      <x:c r="W9" s="61" t="str">
        <x:v>no</x:v>
      </x:c>
      <x:c r="X9" s="61" t="str">
        <x:v>curated_top100_workbook</x:v>
      </x:c>
      <x:c r="Y9" s="22" t="str"/>
    </x:row>
    <x:row r="10" ht="24" customHeight="1">
      <x:c r="A10" s="69" t="n">
        <x:v>9</x:v>
      </x:c>
      <x:c r="B10" s="69" t="n">
        <x:v>11</x:v>
      </x:c>
      <x:c r="C10" s="70" t="str">
        <x:v>90% of a viral LinkedIn post depends on 1 thing.
Get it wrong, and the whole post could flop...
The hook determines whether people engage with your post or move on.
I've written hooks across 100s of accounts.
After 1,000+ posts tested across multiple brands, 
The formats winning 12 months ago aren't getting reach anymore.
In 2024, curiosity hooks dominated.
They were vague and clickbait-adjacent. 
"You won't believe what happened next" energy.
In 2026, authority hooks win.
And the algorithm prioritises content that gets read by the right people.
Your hook needs to do 2 things at once:
Stop the scroll, and signal who the post is for.
Here's the complete hook writing playbook for 2026:
1️⃣ How To
Lead with a powerful statement and drop the "how to" on line 2.
↳ Best for: Top of funnel reach and saves.
↳ Example: Delegation is the most underrated leadership skill. Here's how to do it properly:
2️⃣ How I
Lead with a specific result and a timeframe.
↳ Best for: Trust building and conversion content.
↳ Example: How I generated 23,000 leads in 30 days. Without running a single ad:
3️⃣ Contrarian
Make a strong, polarising claim.
↳ Best for: Reach, comments, and challenging bad advice.
↳ Example: Most LinkedIn advice is making your content worse. Here's what to do instead:
4️⃣ Shocking Stats
Lead with a number that stops the reader cold.
↳ Best for: Awareness content and broad reach.
↳ Example: 95% of LinkedIn posts get fewer than 1,000 impressions. Here's why yours is one of them:
5️⃣ Open Promise
Make a bold promise based on a credible result. Add a timeframe.
↳ Best for: Mid and bottom of funnel content.
↳ Example: This one change grew a LinkedIn account by 400% in 3 months. Here's exactly what changed:
Hook formats evolve, but the formatting rules never do:
Line 1: 62 characters maximum.
Line 2: 50 characters maximum.
No bold or italics in the hook, ever.
1 clear idea per hook.
Authority, specificity, and ICP relevance are doing more work in 2026 than shock alone.
Ask yourself this after every hook you write:
Would this stop me from scrolling?
If the answer isn't an immediate yes, rewrite it.
Hooks are the highest leverage skill on LinkedIn right now.
1 line can double your reach, or kill it entirely.
Start treating them like they matter that much.
What's a hook that made you stop scrolling recently?
Drop it below, I'm curious 👇
💾 Save this as your hook writing reference.
♻️ Repost to a founder whose content deserves more reach.
And follow me, Josh S., for more LinkedIn breakdowns like this.</x:v>
      </x:c>
      <x:c r="D10" s="61" t="str">
        <x:v>86eca744c89c080f2578f26cfdf548c569733022f56134be06c02c9a9df99794</x:v>
      </x:c>
      <x:c r="E10" s="61" t="str">
        <x:v>9.jpeg</x:v>
      </x:c>
      <x:c r="F10" s="61" t="str">
        <x:v>/Users/tigershetty/Documents/Codex/2026-06-30/ho/Codex-Linkedin-V3/infographic-setup/references/top 100/9.jpeg</x:v>
      </x:c>
      <x:c r="G10" s="61" t="str">
        <x:v>acda3858254f77d8875a17657d86234657d930f229b074d11a1699b3d8dbf5c3</x:v>
      </x:c>
      <x:c r="H10" s="64" t="b">
        <x:v>1</x:v>
      </x:c>
      <x:c r="I10" s="61"/>
      <x:c r="J10" s="61" t="str">
        <x:v>resolved</x:v>
      </x:c>
      <x:c r="K10" s="61" t="str">
        <x:v>high</x:v>
      </x:c>
      <x:c r="L10" s="61" t="str">
        <x:v>Josh Sanders</x:v>
      </x:c>
      <x:c r="M10" s="61" t="str">
        <x:v>https://www.linkedin.com/in/joshejsanders</x:v>
      </x:c>
      <x:c r="N10" s="61" t="str">
        <x:v>https://www.linkedin.com/posts/joshejsanders_90-of-a-viral-linkedin-post-depends-on-1-activity-7468986861345087488-eGba</x:v>
      </x:c>
      <x:c r="O10" s="62" t="str">
        <x:v>2026-06-06</x:v>
      </x:c>
      <x:c r="P10" s="61" t="str">
        <x:v>Josh Sanders</x:v>
      </x:c>
      <x:c r="Q10" s="61" t="str"/>
      <x:c r="R10" s="61" t="str">
        <x:v>The Creator Accelerator / Josh Sanders</x:v>
      </x:c>
      <x:c r="S10" s="61" t="str">
        <x:v>external_transferable</x:v>
      </x:c>
      <x:c r="T10" s="61" t="str">
        <x:v>no</x:v>
      </x:c>
      <x:c r="U10" s="61" t="str">
        <x:v>https://www.linkedin.com/posts/joshejsanders_90-of-a-viral-linkedin-post-depends-on-1-activity-7468986861345087488-eGba</x:v>
      </x:c>
      <x:c r="V10" s="22" t="str">
        <x:v>LinkedIn display shortens name to Josh S.; exact caption and visual match.</x:v>
      </x:c>
      <x:c r="W10" s="61" t="str">
        <x:v>no</x:v>
      </x:c>
      <x:c r="X10" s="61" t="str">
        <x:v>curated_top100_workbook</x:v>
      </x:c>
      <x:c r="Y10" s="22" t="str"/>
    </x:row>
    <x:row r="11" ht="24" customHeight="1">
      <x:c r="A11" s="69" t="n">
        <x:v>10</x:v>
      </x:c>
      <x:c r="B11" s="69" t="n">
        <x:v>12</x:v>
      </x:c>
      <x:c r="C11" s="70" t="str">
        <x:v>LinkedIn has 1.3 billion users but only 1% post weekly. 
Join the top 1% with these 12 steps:
(This system helped me grow to 60K+ followers)
Step 1:⁠ ⁠Pick your niche
→ One offer. One audience. One pain point.
→ Find where your skills and demand overlap.
→ ⁠Speak to everyone and nobody listens.
Step 2: ⁠Fix your profile picture
→ ⁠Your face fills 80% of the frame.
→ ⁠Use brand colours in the background.
→ ⁠Smile, approachable beats professional.
Step 3: Rewrite your headline
→ ⁠Formula: I help [X] do [Y] through [Z].
→ ⁠Under 45 characters so mobile shows it.
→ ⁠No buzzwords. Say what you do plainly.
Step 4: Rewrite your About section
→ Lead with a story, not your CV. 
→ ⁠Include quantifiable results.
→ ⁠End with contact details or a next step.
Step 5: ⁠Design your banner
→ Treat it like a billboard. One message.
→ ⁠Show proof: logos, results, features.
→ ⁠1584x396 pixels. Leave room for your photo.
Step 6: Set up your Featured section
→ ⁠Pin services and lead magnets, not posts.
→ ⁠Create branded thumbnails in Canva.
→ ⁠Drive traffic to your site or newsletter.
Step 7: Lock 3-5 content pillars
→ ⁠Start from your ICP's top problems.
→ ⁠Only keep topics where you have proof.
→ ⁠Each pillar should connect to your offer.
Step 8: Write hooks that stop the scroll
→ ⁠The hook is 80% of your post.
→ "How I [result in timeframe]" works.
→ ⁠"Most [niche] get this wrong" works too.
Step 9: ⁠Follow the 70/20/10 content mix
→ 70% value: frameworks, tips, how-tos.
→ 20% story: lessons, behind the scenes.
→ 10% offers: what you sell and how to buy.
Step 10: Comment strategically
→ ⁠List 100 creators in your niche.
→ ⁠Engage daily. Be smart, not spammy.
→ ⁠1/3 big accounts. 1/3 peers. 1/3 ICPs.
Step 11: ⁠Build trust before you pitch
→ ⁠Share stories. People buy people they trust.
→ ⁠Post consistently. Gaps kill momentum.
→ Teach something useful in every post.
Step 12: ⁠Repurpose your top performers
→ ⁠Find your top posts. Refresh the hook.
→ ⁠One post becomes 5 pieces of content.
→ ⁠Repost with a new CTA every 60-90 days.
Most people overcomplicate LinkedIn.
But really it’s just…
Post → engage → repeat. 
The system works if you do.
Repost ♻️ to help someone in your network.
P.S. Which step are you stuck on?</x:v>
      </x:c>
      <x:c r="D11" s="61" t="str">
        <x:v>33b33ffccf39c6ac28167d4be9302ff2017098b16366203684e093efdd002114</x:v>
      </x:c>
      <x:c r="E11" s="61" t="str">
        <x:v>10.jpeg</x:v>
      </x:c>
      <x:c r="F11" s="61" t="str">
        <x:v>/Users/tigershetty/Documents/Codex/2026-06-30/ho/Codex-Linkedin-V3/infographic-setup/references/top 100/10.jpeg</x:v>
      </x:c>
      <x:c r="G11" s="61" t="str">
        <x:v>7541e1221d69fca33618d974d42d15ad21582f8406859871098c2e16dfd912a7</x:v>
      </x:c>
      <x:c r="H11" s="64" t="b">
        <x:v>1</x:v>
      </x:c>
      <x:c r="I11" s="61"/>
      <x:c r="J11" s="61" t="str">
        <x:v>resolved</x:v>
      </x:c>
      <x:c r="K11" s="61" t="str">
        <x:v>high</x:v>
      </x:c>
      <x:c r="L11" s="61" t="str">
        <x:v>Mischa Collins</x:v>
      </x:c>
      <x:c r="M11" s="61" t="str">
        <x:v>https://www.linkedin.com/in/mischa-collins</x:v>
      </x:c>
      <x:c r="N11" s="61" t="str"/>
      <x:c r="O11" s="62"/>
      <x:c r="P11" s="61" t="str">
        <x:v>Mischa Collins</x:v>
      </x:c>
      <x:c r="Q11" s="61" t="str"/>
      <x:c r="R11" s="61" t="str">
        <x:v>Mischa Collins</x:v>
      </x:c>
      <x:c r="S11" s="61" t="str">
        <x:v>external_transferable</x:v>
      </x:c>
      <x:c r="T11" s="61" t="str">
        <x:v>no</x:v>
      </x:c>
      <x:c r="U11" s="61" t="str"/>
      <x:c r="V11" s="22" t="str">
        <x:v>Visual explicitly identifies author; permalink unresolved.</x:v>
      </x:c>
      <x:c r="W11" s="61" t="str">
        <x:v>yes</x:v>
      </x:c>
      <x:c r="X11" s="61" t="str">
        <x:v>curated_top100_workbook</x:v>
      </x:c>
      <x:c r="Y11" s="22" t="str"/>
    </x:row>
    <x:row r="12" ht="24" customHeight="1">
      <x:c r="A12" s="69" t="n">
        <x:v>11</x:v>
      </x:c>
      <x:c r="B12" s="69" t="n">
        <x:v>13</x:v>
      </x:c>
      <x:c r="C12" s="70" t="str">
        <x:v>Claude (almost) runs my entire content system.
The exact system behind 350k across socials:
LinkedIn: Infographics (Code agent team)
1. I pick the topic from my notes app.
2. The strategist agent finds the angle.
3. Claude builds the graphic with HTML.
4. Score it to 95, cold QA agent hard gate.
5. Publish to Notion and schedule to LinkedIn.
Full breakdown → https://lnkd.in/eZ6wSdJA
Instagram: Reels (ig-reel-producer)
1. We pick a reference reel from the feed.
2. Sandcastles breaks down a 5x outlier reel.
3. Claude writes the script based on what works.
4. HeyGen and ElevenLabs build the avatar.
5. Publish in Notion and schedule to IG.
I have not written this one yet.
Get it when it drops → charliehills.substack.com
YOUTUBE: Long-form video (HyperFrames)
1. I record the video in Tella.
2. Cut and trim the raw footage.
3. Say "edit this video" to Claude Code.
4. HeyGen previews and renders the final MP4.
5. Gemini builds the thumbnail from outlier data.
Full guide → https://lnkd.in/eAGd_Xra
NEWSLETTER: Substack (Cowork)
1. My raw notes and voice-to-text go in.
2. Claude Cowork drafts the full draft issue.
3. Voice-builder skills keep it sounding like me.
4. I review, test, tweak and then ship.
5. Substack feeds every channel.
Full breakdown → https://lnkd.in/eqxWAdnT
Every piece of content starts in one place.
Claude runs the process. I review and publish.
This isn't automating content, it's augmenting it.
Get 80+ free resources → https://lnkd.in/egsC99qy
Repost ♻️ to help someone in your network.
P.S. Which channel would you automate first?</x:v>
      </x:c>
      <x:c r="D12" s="61" t="str">
        <x:v>07e2231cd5823e89f01141ab419006ea1624354ab9da4d29b390411446b6863d</x:v>
      </x:c>
      <x:c r="E12" s="61" t="str">
        <x:v>11.gif</x:v>
      </x:c>
      <x:c r="F12" s="61" t="str">
        <x:v>/Users/tigershetty/Documents/Codex/2026-06-30/ho/Codex-Linkedin-V3/infographic-setup/references/top 100/11.gif</x:v>
      </x:c>
      <x:c r="G12" s="61" t="str">
        <x:v>2d0527fe5618db60652991273a07512b04b777f9b32f9154523ae8969128d546</x:v>
      </x:c>
      <x:c r="H12" s="64" t="b">
        <x:v>1</x:v>
      </x:c>
      <x:c r="I12" s="61"/>
      <x:c r="J12" s="61" t="str">
        <x:v>resolved</x:v>
      </x:c>
      <x:c r="K12" s="61" t="str">
        <x:v>high</x:v>
      </x:c>
      <x:c r="L12" s="61" t="str">
        <x:v>Charlie Hills</x:v>
      </x:c>
      <x:c r="M12" s="61" t="str">
        <x:v>https://www.linkedin.com/in/charlie-hills</x:v>
      </x:c>
      <x:c r="N12" s="61" t="str">
        <x:v>https://www.linkedin.com/posts/charlie-hills_claude-almost-runs-my-entire-content-system-activity-7468602533284974592-g74g</x:v>
      </x:c>
      <x:c r="O12" s="62" t="str">
        <x:v>2026-06-05</x:v>
      </x:c>
      <x:c r="P12" s="61" t="str">
        <x:v>Charlie Hills</x:v>
      </x:c>
      <x:c r="Q12" s="61" t="str"/>
      <x:c r="R12" s="61" t="str">
        <x:v>Charlie Hills</x:v>
      </x:c>
      <x:c r="S12" s="61" t="str">
        <x:v>implementation_adjacent</x:v>
      </x:c>
      <x:c r="T12" s="61" t="str">
        <x:v>no</x:v>
      </x:c>
      <x:c r="U12" s="61" t="str">
        <x:v>https://www.linkedin.com/posts/how-i-use-ai-guide_claude-almost-runs-my-entire-content-system-activity-7471524276689358848-N7-o</x:v>
      </x:c>
      <x:c r="V12" s="22" t="str">
        <x:v>Direct indexed original matches the workbook caption; the recorded third-party repost remains evidence only.</x:v>
      </x:c>
      <x:c r="W12" s="61" t="str">
        <x:v>no</x:v>
      </x:c>
      <x:c r="X12" s="61" t="str">
        <x:v>curated_top100_workbook</x:v>
      </x:c>
      <x:c r="Y12" s="22" t="str"/>
    </x:row>
    <x:row r="13" ht="24" customHeight="1">
      <x:c r="A13" s="69" t="n">
        <x:v>12</x:v>
      </x:c>
      <x:c r="B13" s="69" t="n">
        <x:v>14</x:v>
      </x:c>
      <x:c r="C13" s="70" t="str">
        <x:v>A client of ours pulled 824k impressions from 4 LinkedIn posts in 3 months. There's a reason I won't shut up about the 4 buckets, and this is it:
Those 4 posts were Growth posts.
Their ONLY job was to bring new eyes in. Bold openers that picked a fight with the consensus or cracked open a curiosity loop wide enough that you had to keep reading.
But Growth posts on their own don't close deals. They open the door.
Once people landed on his profile, the Authority posts did the heavy lifting. Frameworks, breakdowns, case studies, the actual thinking behind the hot takes.
That's where trust got built.
This is the part the "post viral takes" advice leaves out. A viral hook gets you eyeballs. The system behind it gets you the contract.
Growth gets attention. Authority earns the meeting. Conversion turns it into pipeline.
Growth (40%) brings the eyes.
Authority (30%) earns the trust.
Conversion (20%) drives the action.
Personal (10%) makes them remember you.
Skip Growth and you're invisible. Skip Authority and you're noisy. Skip Conversion and you're a free media company. Skip Personal and they forget your name.
If you've followed me for a while, you know I won't shut up about the 4 buckets. There's a reason. I've watched this exact system turn invisible founders into 6-7 figure businesses.
His 824k impressions made for a nice screenshot. The system behind them is what landed the contract.
...This post is an Authority post. 
It won't pull numbers like his Growth posts did, and it doesn't need to. It's doing for me what his Authority posts did for him: building trust with the people already here.
This is the system we run for every Distinctiva client.
If you want it built for you, distinctiva.io.</x:v>
      </x:c>
      <x:c r="D13" s="61" t="str">
        <x:v>b806df236cfa0c4d8c8825946c9d8f919abe1803f09011e413119ae79c865b81</x:v>
      </x:c>
      <x:c r="E13" s="61" t="str"/>
      <x:c r="F13" s="61" t="str"/>
      <x:c r="G13" s="61" t="str"/>
      <x:c r="H13" s="64" t="b">
        <x:v>0</x:v>
      </x:c>
      <x:c r="I13" s="61"/>
      <x:c r="J13" s="61" t="str">
        <x:v>resolved</x:v>
      </x:c>
      <x:c r="K13" s="61" t="str">
        <x:v>high</x:v>
      </x:c>
      <x:c r="L13" s="61" t="str">
        <x:v>Diandra Escobar</x:v>
      </x:c>
      <x:c r="M13" s="61" t="str">
        <x:v>https://www.linkedin.com/in/diandraescobar</x:v>
      </x:c>
      <x:c r="N13" s="61" t="str">
        <x:v>https://www.linkedin.com/posts/diandraescobar_a-client-of-ours-pulled-824k-impressions-activity-7468279103163596800-WOb5</x:v>
      </x:c>
      <x:c r="O13" s="62" t="str">
        <x:v>2026-06-04</x:v>
      </x:c>
      <x:c r="P13" s="61" t="str">
        <x:v>Diandra Escobar</x:v>
      </x:c>
      <x:c r="Q13" s="61" t="str"/>
      <x:c r="R13" s="61" t="str"/>
      <x:c r="S13" s="61" t="str">
        <x:v>external_transferable</x:v>
      </x:c>
      <x:c r="T13" s="61" t="str">
        <x:v>no</x:v>
      </x:c>
      <x:c r="U13" s="61" t="str">
        <x:v>https://www.linkedin.com/posts/diandraescobar_a-client-of-ours-pulled-824k-impressions-activity-7468279103163596800-WOb5</x:v>
      </x:c>
      <x:c r="V13" s="22" t="str">
        <x:v>Exact caption match; no local image.</x:v>
      </x:c>
      <x:c r="W13" s="61" t="str">
        <x:v>no</x:v>
      </x:c>
      <x:c r="X13" s="61" t="str">
        <x:v>curated_top100_workbook</x:v>
      </x:c>
      <x:c r="Y13" s="22" t="str"/>
    </x:row>
    <x:row r="14" ht="24" customHeight="1">
      <x:c r="A14" s="69" t="n">
        <x:v>13</x:v>
      </x:c>
      <x:c r="B14" s="69" t="n">
        <x:v>15</x:v>
      </x:c>
      <x:c r="C14" s="70" t="str">
        <x:v>Forecasts don’t buy inventory.
Plans don’t place POs.
Buyers do.
And this is where many inventory problems quietly begin.
Most organizations talk about forecasting and planning.
Far fewer talk about the connection between forecasting, planning, and buying.
But all three drive inventory performance together.
→ Forecasting: Builds the demand signal using history, trends, and market inputs.
→ Planning: Translates that signal into inventory, capacity, and supply decisions.
→ Buying: Turns those decisions into real cash commitments and inventory receipts.
The relationship that matters:
Forecasting predicts demand.
Planning positions supply.
Buying commits cash.
Where organizations struggle is in the gap between the three.
- The forecast shifts.
- The plan lags.
- The buy order is already placed.
That’s when problems compound:
- Inventory building ahead of demand
- Short buys on fast-moving SKUs
- Excess working capital exposure
- Margin pressure from reactionary purchasing
- Service levels slipping during volatility
Strong operators understand:
- Forecasting improves visibility.
- Planning improves readiness.
- Buying determines financial exposure.
The real challenge is not optimizing one function independently.
It’s aligning all three fast enough to respond to changing demand.
Question for Operators: Where does your organization see the biggest disconnect today...forecasting, planning, or buying?</x:v>
      </x:c>
      <x:c r="D14" s="61" t="str">
        <x:v>ee5f6e6cdc9d5947bd62b155fb7de93d6baed816760b663d70a669a284094489</x:v>
      </x:c>
      <x:c r="E14" s="61" t="str">
        <x:v>13.jpeg</x:v>
      </x:c>
      <x:c r="F14" s="61" t="str">
        <x:v>/Users/tigershetty/Documents/Codex/2026-06-30/ho/Codex-Linkedin-V3/infographic-setup/references/top 100/13.jpeg</x:v>
      </x:c>
      <x:c r="G14" s="61" t="str">
        <x:v>8a6e7cb3dbc390081233c378883018b2f88fecdf4ce1dd7972dcb61b88323b8e</x:v>
      </x:c>
      <x:c r="H14" s="64" t="b">
        <x:v>1</x:v>
      </x:c>
      <x:c r="I14" s="61"/>
      <x:c r="J14" s="61" t="str">
        <x:v>resolved</x:v>
      </x:c>
      <x:c r="K14" s="61" t="str">
        <x:v>high</x:v>
      </x:c>
      <x:c r="L14" s="61" t="str">
        <x:v>Sarah Hurzeler</x:v>
      </x:c>
      <x:c r="M14" s="61" t="str">
        <x:v>https://www.linkedin.com/in/sarah-hurzeler</x:v>
      </x:c>
      <x:c r="N14" s="61" t="str">
        <x:v>https://www.linkedin.com/posts/sarah-hurzeler_forecasts-dont-buy-inventory-plans-don-activity-7466137551251378176-XXE2</x:v>
      </x:c>
      <x:c r="O14" s="62" t="str">
        <x:v>2026-05-29</x:v>
      </x:c>
      <x:c r="P14" s="61" t="str">
        <x:v>Sarah Hurzeler</x:v>
      </x:c>
      <x:c r="Q14" s="61" t="str"/>
      <x:c r="R14" s="61" t="str">
        <x:v>unresolved</x:v>
      </x:c>
      <x:c r="S14" s="61" t="str">
        <x:v>direct_scm</x:v>
      </x:c>
      <x:c r="T14" s="61" t="str">
        <x:v>no</x:v>
      </x:c>
      <x:c r="U14" s="61" t="str">
        <x:v>https://www.linkedin.com/posts/sarah-hurzeler_forecasts-dont-buy-inventory-plans-don-activity-7466137551251378176-XXE2</x:v>
      </x:c>
      <x:c r="V14" s="22" t="str">
        <x:v>Exact workbook caption and author match; original permalink recovered from LinkedIn public evidence. Do not substitute the older near-duplicate.</x:v>
      </x:c>
      <x:c r="W14" s="61" t="str">
        <x:v>no</x:v>
      </x:c>
      <x:c r="X14" s="61" t="str">
        <x:v>curated_top100_workbook</x:v>
      </x:c>
      <x:c r="Y14" s="22" t="str"/>
    </x:row>
    <x:row r="15" ht="24" customHeight="1">
      <x:c r="A15" s="69" t="n">
        <x:v>14</x:v>
      </x:c>
      <x:c r="B15" s="69" t="n">
        <x:v>16</x:v>
      </x:c>
      <x:c r="C15" s="70" t="str">
        <x:v>What’s the difference between
a $10M company and
a $100M company?
How they tell their story.
I’ve seen brilliant strategies fall flat.
Not because they were wrong.
Because the story didn’t land.
I’ve seen products with huge potential go nowhere.
Because no one could explain why they mattered.
I’ve seen great teams lose focus.
Because the vision sounded like buzzwords.
The companies that scale don’t just build better products.
They communicate better.
They lead with story.
Want people to:
Trust you
Follow you
Act on what you say?
Use these 6 storytelling frameworks:
1/ Simon Sinek’s Golden Circle
Start with what moves people.
→ WHY: The belief behind it all
→ HOW: Your unique approach
→ WHAT: The tangible result
Jobs didn’t return to Apple to sell computers.
He sold thinking differently. The rest followed.
2/ STARR Method
Turn wins into lessons others can run with.
→ Situation
→ Task
→ Action
→ Result
→ Reflection
Perfect for reviews, case studies, or proving ROI.
3/ SCQA Framework
Make complex ideas sound obvious.
→ Situation
→ Complication
→ Question
→ Answer
We used this at McKinsey.
Trusted by Fortune 500 CEOs.
4/ ABT (And, But, Therefore)
Persuade in 30 seconds.
→ AND: The shared context
→ BUT: The problem
→ THEREFORE: The solution
If it takes longer, you’ve lost them.
5/ 3-Act Structure
Make updates memorable.
→ Setup
→ Confrontation
→ Resolution
Turns your next all-hands into something people want to attend.
6/ Monroe’s Motivated Sequence
Move people from interest to action.
→ Attention
→ Need
→ Satisfaction
→ Visualization
→ Action
Works for pitches, keynotes, and team meetings.
When you use these frameworks:
Emails get answered.
Ideas get funded.
Teams align faster.
Because real leadership isn’t just vision.
It’s making your message impossible to ignore.
P.S. Want a PDF of my Strategic Storytelling Cheat Sheet?
Get it free: https://lnkd.in/e65AV8f8
♻️ Repost to help a leader in your network.
- - - 
📣 Want 15 more strategy frameworks?
Get my Strategy Book in One Page for free:
https://lnkd.in/exnurMJ7</x:v>
      </x:c>
      <x:c r="D15" s="61" t="str">
        <x:v>8c6076ebb5df10fcad7a57604d8c18cfe026f3229b15639313e51f9bb6f22514</x:v>
      </x:c>
      <x:c r="E15" s="61" t="str">
        <x:v>14.jpeg</x:v>
      </x:c>
      <x:c r="F15" s="61" t="str">
        <x:v>/Users/tigershetty/Documents/Codex/2026-06-30/ho/Codex-Linkedin-V3/infographic-setup/references/top 100/14.jpeg</x:v>
      </x:c>
      <x:c r="G15" s="61" t="str">
        <x:v>19ee3cec5bb6aa74a5f3c5bca0ebeef8e5e55c628f484fece1aeb4871e03fb6f</x:v>
      </x:c>
      <x:c r="H15" s="64" t="b">
        <x:v>1</x:v>
      </x:c>
      <x:c r="I15" s="61"/>
      <x:c r="J15" s="61" t="str">
        <x:v>resolved</x:v>
      </x:c>
      <x:c r="K15" s="61" t="str">
        <x:v>high</x:v>
      </x:c>
      <x:c r="L15" s="61" t="str">
        <x:v>Eric Partaker</x:v>
      </x:c>
      <x:c r="M15" s="61" t="str">
        <x:v>https://www.linkedin.com/in/ericpartaker</x:v>
      </x:c>
      <x:c r="N15" s="61" t="str">
        <x:v>https://www.linkedin.com/posts/ericpartaker_the-difference-between-a-10m-company-and-activity-7377658268292104192-nJ9r</x:v>
      </x:c>
      <x:c r="O15" s="62" t="str">
        <x:v>2025-09-27</x:v>
      </x:c>
      <x:c r="P15" s="61" t="str">
        <x:v>Eric Partaker</x:v>
      </x:c>
      <x:c r="Q15" s="61" t="str"/>
      <x:c r="R15" s="61" t="str">
        <x:v>Eric Partaker</x:v>
      </x:c>
      <x:c r="S15" s="61" t="str">
        <x:v>external_transferable</x:v>
      </x:c>
      <x:c r="T15" s="61" t="str">
        <x:v>no</x:v>
      </x:c>
      <x:c r="U15" s="61" t="str">
        <x:v>https://www.linkedin.com/posts/ericpartaker_the-difference-between-a-10m-company-and-activity-7377658268292104192-nJ9r</x:v>
      </x:c>
      <x:c r="V15" s="22" t="str">
        <x:v>Direct indexed original and exact caption match; third-party reposts are not used as the source.</x:v>
      </x:c>
      <x:c r="W15" s="61" t="str">
        <x:v>no</x:v>
      </x:c>
      <x:c r="X15" s="61" t="str">
        <x:v>curated_top100_workbook</x:v>
      </x:c>
      <x:c r="Y15" s="22" t="str"/>
    </x:row>
    <x:row r="16" ht="24" customHeight="1">
      <x:c r="A16" s="69" t="n">
        <x:v>15</x:v>
      </x:c>
      <x:c r="B16" s="69" t="n">
        <x:v>17</x:v>
      </x:c>
      <x:c r="C16" s="70" t="str">
        <x:v>Every guru I see posting Claude commands is lying.
I made them into 20 skills that (actually) work:
/godmode, /ghost, /L99, /OODA.
These are not real commands.
Claude has:
- No secret command parser
- No hidden capability ceiling
- No concealed unlock codes
They are prompt prefixes dressed up to look like developer shortcuts.
So I did something different.
I took every viral "command" and built actual working versions of each one.
There are 20 Claude skills in total.
Each one does exactly what the gurus promised.
Subscribe (free) and the link to all 20 skills lands in your welcome email → https://lnkd.in/egsC99qy
Repost ♻️ to help someone in your network.
P.S. Claude Code commands are real.</x:v>
      </x:c>
      <x:c r="D16" s="61" t="str">
        <x:v>668d2ebbeda0ac6dbe36a2141e51fff353d5cdee73fa9403f00a542dee1d52e3</x:v>
      </x:c>
      <x:c r="E16" s="61" t="str">
        <x:v>15.gif</x:v>
      </x:c>
      <x:c r="F16" s="61" t="str">
        <x:v>/Users/tigershetty/Documents/Codex/2026-06-30/ho/Codex-Linkedin-V3/infographic-setup/references/top 100/15.gif</x:v>
      </x:c>
      <x:c r="G16" s="61" t="str">
        <x:v>6eaed34cedc0acd902b9d0a561d0aa5ac24530ec9feda41e621ab0efc8c702b8</x:v>
      </x:c>
      <x:c r="H16" s="64" t="b">
        <x:v>1</x:v>
      </x:c>
      <x:c r="I16" s="61"/>
      <x:c r="J16" s="61" t="str">
        <x:v>resolved</x:v>
      </x:c>
      <x:c r="K16" s="61" t="str">
        <x:v>high</x:v>
      </x:c>
      <x:c r="L16" s="61" t="str">
        <x:v>Charlie Hills</x:v>
      </x:c>
      <x:c r="M16" s="61" t="str">
        <x:v>https://www.linkedin.com/in/charlie-hills</x:v>
      </x:c>
      <x:c r="N16" s="61" t="str"/>
      <x:c r="O16" s="62"/>
      <x:c r="P16" s="61" t="str">
        <x:v>Charlie Hills</x:v>
      </x:c>
      <x:c r="Q16" s="61" t="str"/>
      <x:c r="R16" s="61" t="str">
        <x:v>Charlie Hills</x:v>
      </x:c>
      <x:c r="S16" s="61" t="str">
        <x:v>implementation_adjacent</x:v>
      </x:c>
      <x:c r="T16" s="61" t="str">
        <x:v>no</x:v>
      </x:c>
      <x:c r="U16" s="61" t="str">
        <x:v>https://www.linkedin.com/posts/norbertbezzina_every-guru-i-see-posting-claude-commands-activity-7468589531345149953-0vAd</x:v>
      </x:c>
      <x:c r="V16" s="22" t="str">
        <x:v>Indexed derivative is evidence only; original author is explicit on the local visual.</x:v>
      </x:c>
      <x:c r="W16" s="61" t="str">
        <x:v>yes</x:v>
      </x:c>
      <x:c r="X16" s="61" t="str">
        <x:v>curated_top100_workbook</x:v>
      </x:c>
      <x:c r="Y16" s="22" t="str"/>
    </x:row>
    <x:row r="17" ht="24" customHeight="1">
      <x:c r="A17" s="69" t="n">
        <x:v>16</x:v>
      </x:c>
      <x:c r="B17" s="69" t="n">
        <x:v>18</x:v>
      </x:c>
      <x:c r="C17" s="70" t="str">
        <x:v>Back in March, my engagement dropped by 20%.
Less likes, lower impressions and my follower growth slowed down.
I did one thing to fix it…
Focused on commenting because it was something I'd been neglecting.
Great content isn't enough anymore.
You have to be connecting with others, adding new connections and commenting daily. 
But you need a system.
1. Find the right posts to comment on
→ Big creators in your niche for visibility
→ Mid-sized creators at your level for relationships
→ Your ideal clients for visibility 
2. What a great comment looks like
→ Give your actual opinion
→ Agree or disagree respectfully
→ Hype someone (my personal fave)
→ Add a perspective the post didn't cover
→ Share a short story that backs up the point
3. What a bad comment looks like
→ "Great post. So true."
→ A summary of what they just said
→ Anything that could apply to any post ever written
4. Build your comment ladder
→ 5 comments on big creators daily
→ 3 comments on mid creators daily
→ 2 comments on peers daily
5. How often to comment
→ 30 mins before you post to warm the feed
→ 15 mins after you post to build momentum
→ Daily whether you post that day or not
6. What to track
→ Impressions on comments
→ Profile views after commenting
→ DMs that start from a comment
Your comments are content too.
They're where you can have fun, show personality, be silly.
All those things build your brand.
Don't neglect them.
♻️ Repost to help your network 
How many comments do you leave per day?</x:v>
      </x:c>
      <x:c r="D17" s="61" t="str">
        <x:v>432574adae8f25e4fe03d4b10ec0a2df246106e697e0bf7f4931f35b7c7b6dfd</x:v>
      </x:c>
      <x:c r="E17" s="61" t="str">
        <x:v>16.jpeg</x:v>
      </x:c>
      <x:c r="F17" s="61" t="str">
        <x:v>/Users/tigershetty/Documents/Codex/2026-06-30/ho/Codex-Linkedin-V3/infographic-setup/references/top 100/16.jpeg</x:v>
      </x:c>
      <x:c r="G17" s="61" t="str">
        <x:v>862f1876ebe19f4725594ac885c80ba812b76a4ddf81127cc6495f22783094d6</x:v>
      </x:c>
      <x:c r="H17" s="64" t="b">
        <x:v>1</x:v>
      </x:c>
      <x:c r="I17" s="61"/>
      <x:c r="J17" s="61" t="str">
        <x:v>resolved</x:v>
      </x:c>
      <x:c r="K17" s="61" t="str">
        <x:v>high</x:v>
      </x:c>
      <x:c r="L17" s="61" t="str">
        <x:v>Mischa Collins</x:v>
      </x:c>
      <x:c r="M17" s="61" t="str">
        <x:v>https://www.linkedin.com/in/mischa-collins</x:v>
      </x:c>
      <x:c r="N17" s="61" t="str">
        <x:v>https://www.linkedin.com/posts/mischa-collins_back-in-march-my-engagement-dropped-by-20-activity-7467168415565197313-7c7l</x:v>
      </x:c>
      <x:c r="O17" s="62" t="str">
        <x:v>2026-06-01</x:v>
      </x:c>
      <x:c r="P17" s="61" t="str">
        <x:v>Mischa Collins</x:v>
      </x:c>
      <x:c r="Q17" s="61" t="str"/>
      <x:c r="R17" s="61" t="str">
        <x:v>Mischa Collins</x:v>
      </x:c>
      <x:c r="S17" s="61" t="str">
        <x:v>external_transferable</x:v>
      </x:c>
      <x:c r="T17" s="61" t="str">
        <x:v>no</x:v>
      </x:c>
      <x:c r="U17" s="61" t="str">
        <x:v>https://www.linkedin.com/posts/mischa-collins_back-in-march-my-engagement-dropped-by-20-activity-7467168415565197313-7c7l</x:v>
      </x:c>
      <x:c r="V17" s="22" t="str">
        <x:v>Exact caption and original-author match; canonical original permalink recovered from LinkedIn public evidence.</x:v>
      </x:c>
      <x:c r="W17" s="61" t="str">
        <x:v>no</x:v>
      </x:c>
      <x:c r="X17" s="61" t="str">
        <x:v>curated_top100_workbook</x:v>
      </x:c>
      <x:c r="Y17" s="22" t="str"/>
    </x:row>
    <x:row r="18" ht="24" customHeight="1">
      <x:c r="A18" s="69" t="n">
        <x:v>17</x:v>
      </x:c>
      <x:c r="B18" s="69" t="n">
        <x:v>19</x:v>
      </x:c>
      <x:c r="C18" s="70" t="str">
        <x:v>Claude has 375+ native MCP connectors.
Here's how to add 9,000+ more in 3 steps:
1. Go to https://bit.ly/4wKZFVG 
2. Select your tools and create an MCP server
3. Paste the URL into Claude → Settings → Connectors
Claude now has eyes on every tool you use.
Save this for when you (actually) set it up.
Repost ♻️ to help someone in your network.
hashtag#ZapierPartner</x:v>
      </x:c>
      <x:c r="D18" s="61" t="str">
        <x:v>e72880d0d34f6ba2a1f4093cbd0a925a12dbb7b3290e05190e9c1d6899ac183a</x:v>
      </x:c>
      <x:c r="E18" s="61" t="str">
        <x:v>17.jpeg</x:v>
      </x:c>
      <x:c r="F18" s="61" t="str">
        <x:v>/Users/tigershetty/Documents/Codex/2026-06-30/ho/Codex-Linkedin-V3/infographic-setup/references/top 100/17.jpeg</x:v>
      </x:c>
      <x:c r="G18" s="61" t="str">
        <x:v>c518dc6e2dba1fdebf63d222e14f1bad9b20abde26f722643ebd8c4efd38a0fa</x:v>
      </x:c>
      <x:c r="H18" s="64" t="b">
        <x:v>1</x:v>
      </x:c>
      <x:c r="I18" s="61"/>
      <x:c r="J18" s="61" t="str">
        <x:v>resolved</x:v>
      </x:c>
      <x:c r="K18" s="61" t="str">
        <x:v>high</x:v>
      </x:c>
      <x:c r="L18" s="61" t="str">
        <x:v>Charlie Hills</x:v>
      </x:c>
      <x:c r="M18" s="61" t="str">
        <x:v>https://www.linkedin.com/in/charlie-hills</x:v>
      </x:c>
      <x:c r="N18" s="61" t="str">
        <x:v>https://www.linkedin.com/posts/charlie-hills_zapierpartner-activity-7465341043337555968-dR1B</x:v>
      </x:c>
      <x:c r="O18" s="62" t="str">
        <x:v>2026-05-27</x:v>
      </x:c>
      <x:c r="P18" s="61" t="str">
        <x:v>Charlie Hills</x:v>
      </x:c>
      <x:c r="Q18" s="61" t="str"/>
      <x:c r="R18" s="61" t="str">
        <x:v>Charlie Hills</x:v>
      </x:c>
      <x:c r="S18" s="61" t="str">
        <x:v>implementation_adjacent</x:v>
      </x:c>
      <x:c r="T18" s="61" t="str">
        <x:v>no</x:v>
      </x:c>
      <x:c r="U18" s="61" t="str">
        <x:v>https://www.linkedin.com/posts/charlie-hills_zapierpartner-activity-7465341043337555968-dR1B</x:v>
      </x:c>
      <x:c r="V18" s="22" t="str">
        <x:v>Exact caption and visual match.</x:v>
      </x:c>
      <x:c r="W18" s="61" t="str">
        <x:v>no</x:v>
      </x:c>
      <x:c r="X18" s="61" t="str">
        <x:v>curated_top100_workbook</x:v>
      </x:c>
      <x:c r="Y18" s="22" t="str"/>
    </x:row>
    <x:row r="19" ht="24" customHeight="1">
      <x:c r="A19" s="69" t="n">
        <x:v>18</x:v>
      </x:c>
      <x:c r="B19" s="69" t="n">
        <x:v>20</x:v>
      </x:c>
      <x:c r="C19" s="70" t="str">
        <x:v>Businesses underperform for 7 reasons.
Most CEOs see only 3 of them.
Every high-performing company runs on 7 engines:
1. SHARED VALUES - The Mission Engine
↳ The core beliefs everyone shares
↳ Guides choices without asking
↳ Skip this? Teams pull apart
2. STRATEGY - The Direction Engine
↳ Your plan to beat the competition
↳ Shows what matters most
↳ Get it wrong? Everyone's confused
3. STRUCTURE - The Organization Engine
↳ Clear roles and decision rights
↳ Makes things fast or slow
↳ Mess up? Everything stalls
4. SYSTEMS - The Process Engine
↳ Your step-by-step playbooks
↳ Makes success repeatable
↳ Skip this? Start from zero daily
5. STYLE - The Leadership Engine
↳ What leaders do, not what they say
↳ Creates the real culture
↳ Fake it? Teams know
6. STAFF - The Talent Engine
↳ Right people in right seats
↳ All rowing the same way
↳ Wrong fit? Nothing works
7. SKILLS - The Capability Engine
↳ The abilities that matter
↳ Built by doing, not reading
↳ Don't have them? You lose
The pattern never changes:
🟢 Great companies align all 7
🟡 Stuck companies fix only 3-4
🔴 Failing companies ignore 5+ 
Key truths:
✓ Fix one, affect all others
✓ Small gaps become big problems
✓ Most leaders can't see the whole picture
✓ The "soft" stuff breaks you
Big mistakes leaders make:
❌ Think new org charts fix culture
❌ Believe good strategy beats bad execution
❌ Hope computer systems replace leadership
❌ Assume people learn skills alone
When all 7 parts work together:
✅ Decisions happen 10x faster.
✅ Teams stop fighting each other.
✅ Growth becomes automatic.
And best of all? 
Your business stops feeling like separate pieces 
and starts working like one machine.
So, stop fixing only what you like.
Start fixing the whole system.
P.S. Want a PDF of my McKinsey 7S Model Cheat Sheet?
Get it free: https://lnkd.in/eaGK9z7m
♻️ Repost to help a leader in your network.
- - - 
📣 CEOs who want to scale, read this:
Last day to get the Special Offer for our next
cohort of The Founder &amp; CEO Accelerator.
Learn more and apply: https://lnkd.in/e263Nq5H</x:v>
      </x:c>
      <x:c r="D19" s="61" t="str">
        <x:v>9d5f59cc3734073b91a5966802734374ec0bde7d4b48a1d056dfc8786d9a0bb0</x:v>
      </x:c>
      <x:c r="E19" s="61" t="str">
        <x:v>18.jpeg</x:v>
      </x:c>
      <x:c r="F19" s="61" t="str">
        <x:v>/Users/tigershetty/Documents/Codex/2026-06-30/ho/Codex-Linkedin-V3/infographic-setup/references/top 100/18.jpeg</x:v>
      </x:c>
      <x:c r="G19" s="61" t="str">
        <x:v>560e815610b0564cbf0fbf4aa4200d9181b3d50ffef9ae180b86f4887df2c888</x:v>
      </x:c>
      <x:c r="H19" s="64" t="b">
        <x:v>1</x:v>
      </x:c>
      <x:c r="I19" s="61"/>
      <x:c r="J19" s="61" t="str">
        <x:v>resolved</x:v>
      </x:c>
      <x:c r="K19" s="61" t="str">
        <x:v>high</x:v>
      </x:c>
      <x:c r="L19" s="61" t="str">
        <x:v>Eric Partaker</x:v>
      </x:c>
      <x:c r="M19" s="61" t="str">
        <x:v>https://www.linkedin.com/in/ericpartaker</x:v>
      </x:c>
      <x:c r="N19" s="61" t="str">
        <x:v>https://www.linkedin.com/posts/ericpartaker_businesses-underperform-for-7-reasons-most-activity-7466821513392865280-h3ae</x:v>
      </x:c>
      <x:c r="O19" s="62" t="str">
        <x:v>2026-05-31</x:v>
      </x:c>
      <x:c r="P19" s="61" t="str">
        <x:v>Eric Partaker</x:v>
      </x:c>
      <x:c r="Q19" s="61" t="str"/>
      <x:c r="R19" s="61" t="str">
        <x:v>Eric Partaker</x:v>
      </x:c>
      <x:c r="S19" s="61" t="str">
        <x:v>external_transferable</x:v>
      </x:c>
      <x:c r="T19" s="61" t="str">
        <x:v>no</x:v>
      </x:c>
      <x:c r="U19" s="61" t="str">
        <x:v>https://www.linkedin.com/posts/ericpartaker_businesses-underperform-for-7-reasons-most-activity-7466821513392865280-h3ae</x:v>
      </x:c>
      <x:c r="V19" s="22" t="str">
        <x:v>Exact caption and visual match.</x:v>
      </x:c>
      <x:c r="W19" s="61" t="str">
        <x:v>no</x:v>
      </x:c>
      <x:c r="X19" s="61" t="str">
        <x:v>curated_top100_workbook</x:v>
      </x:c>
      <x:c r="Y19" s="22" t="str"/>
    </x:row>
    <x:row r="20" ht="24" customHeight="1">
      <x:c r="A20" s="69" t="n">
        <x:v>19</x:v>
      </x:c>
      <x:c r="B20" s="69" t="n">
        <x:v>21</x:v>
      </x:c>
      <x:c r="C20" s="70" t="str">
        <x:v>A full STRATEGY BOOK in one page 📌
Here's what's inside:
- The One-Page Strategy Map
- The SCALE Framework for Scaling Your Company
- The McKinsey 7S Model
- 5 Golden Rules for Scaling
- The 4 Pillars of a Winning Strategy
- The Wheel of Strategy: 20 Questions Every CEO Must Answer
- The Strategy Loop: A Repeatable System to Scale
- 7 Strategic Mindset Shifts (Founder Mode vs CEO Mode)
- Strategic vs Tactical vs Operational Planning
- Strategic storytelling, mindset shifts, scaling, and more
16 frameworks. One page.
These 16 frameworks have been seen and shared
by 1,000s of CEOs. Now they're all on one page.
Want all 16 in one high-res download?
Get them free here: https://lnkd.in/eweV5MV8
--
P.S. If you found this valuable and want to support my work:
Repost to help a CEO in your network
Leave a comment
Drop a like
Thank you!</x:v>
      </x:c>
      <x:c r="D20" s="61" t="str">
        <x:v>5362e8f041c337639b0f153134fa9ef0f533dce752284d502cf14a0750f9bed9</x:v>
      </x:c>
      <x:c r="E20" s="61" t="str">
        <x:v>19'.jpeg</x:v>
      </x:c>
      <x:c r="F20" s="61" t="str">
        <x:v>/Users/tigershetty/Documents/Codex/2026-06-30/ho/Codex-Linkedin-V3/infographic-setup/references/top 100/19'.jpeg</x:v>
      </x:c>
      <x:c r="G20" s="61" t="str">
        <x:v>f6c6c2444e25c376389e6b5acf092e576e5d4672bfaa8b00a761b0eec2eaaf73</x:v>
      </x:c>
      <x:c r="H20" s="64" t="b">
        <x:v>1</x:v>
      </x:c>
      <x:c r="I20" s="61"/>
      <x:c r="J20" s="61" t="str">
        <x:v>resolved</x:v>
      </x:c>
      <x:c r="K20" s="61" t="str">
        <x:v>high</x:v>
      </x:c>
      <x:c r="L20" s="61" t="str">
        <x:v>Eric Partaker</x:v>
      </x:c>
      <x:c r="M20" s="61" t="str">
        <x:v>https://www.linkedin.com/in/ericpartaker</x:v>
      </x:c>
      <x:c r="N20" s="61" t="str">
        <x:v>https://www.linkedin.com/posts/activity-7465008937407356928-TUDX</x:v>
      </x:c>
      <x:c r="O20" s="62" t="str">
        <x:v>2026-05-26</x:v>
      </x:c>
      <x:c r="P20" s="61" t="str">
        <x:v>Eric Partaker</x:v>
      </x:c>
      <x:c r="Q20" s="61" t="str"/>
      <x:c r="R20" s="61" t="str">
        <x:v>Eric Partaker</x:v>
      </x:c>
      <x:c r="S20" s="61" t="str">
        <x:v>external_transferable</x:v>
      </x:c>
      <x:c r="T20" s="61" t="str">
        <x:v>no</x:v>
      </x:c>
      <x:c r="U20" s="61" t="str">
        <x:v>https://www.linkedin.com/posts/activity-7465008937407356928-TUDX</x:v>
      </x:c>
      <x:c r="V20" s="22" t="str">
        <x:v>Later third-party reposts are not the original author.</x:v>
      </x:c>
      <x:c r="W20" s="61" t="str">
        <x:v>no</x:v>
      </x:c>
      <x:c r="X20" s="61" t="str">
        <x:v>curated_top100_workbook</x:v>
      </x:c>
      <x:c r="Y20" s="22" t="str"/>
    </x:row>
    <x:row r="21" ht="24" customHeight="1">
      <x:c r="A21" s="69" t="n">
        <x:v>20</x:v>
      </x:c>
      <x:c r="B21" s="69" t="n">
        <x:v>22</x:v>
      </x:c>
      <x:c r="C21" s="70" t="str">
        <x:v>𝐓𝐡𝐞 𝐌𝐨𝐝𝐞𝐫𝐧 𝐏𝐫𝐨𝐜𝐮𝐫𝐞𝐦𝐞𝐧𝐭 𝐓𝐨𝐨𝐥𝐤𝐢𝐭: 𝐁𝐞𝐲𝐨𝐧𝐝 𝐀𝐮𝐭𝐨𝐦𝐚𝐭𝐢𝐨𝐧
Most procurement teams aren't short on data.
They're drowning in it.
The jump from tactical to strategic isn't about more reports. It's about instant visibility into what the data is actually telling you.
Here's how Microsoft Copilot is reshaping the tools your team already opens every day:
→ 𝐄𝐱𝐜𝐞𝐥: spend analysis and cost-breakdown detection in minutes, not days → 𝐖𝐨𝐫𝐝: faster contract review with risk flags surfaced before you sign 
→ 𝐏𝐨𝐰𝐞𝐫𝐏𝐨𝐢𝐧𝐭: complex sourcing strategy turned into an exec-ready deck without the late night 
→ 𝐂𝐡𝐚𝐭: real-time operational support and negotiation prep on demand
This was never about replacing the buyer.
It's about amplifying the buyer who knows what to ask.
The tool finds the pattern. You decide what to do with it. That part is still yours.
Save this for your next digital transformation meeting.
Follow Asmaa Gad + Supply Chain AI Pro for daily AI tips in supply chain</x:v>
      </x:c>
      <x:c r="D21" s="61" t="str">
        <x:v>cd27ef11db67e535fc4825e538a81572f6c49bc76a09bd42b3d626a31f0fe2db</x:v>
      </x:c>
      <x:c r="E21" s="61" t="str">
        <x:v>20.gif</x:v>
      </x:c>
      <x:c r="F21" s="61" t="str">
        <x:v>/Users/tigershetty/Documents/Codex/2026-06-30/ho/Codex-Linkedin-V3/infographic-setup/references/top 100/20.gif</x:v>
      </x:c>
      <x:c r="G21" s="61" t="str">
        <x:v>45b3b89138d97e39a67c82464a7e1cf074af9ec1b11602a9400e256865a34357</x:v>
      </x:c>
      <x:c r="H21" s="64" t="b">
        <x:v>1</x:v>
      </x:c>
      <x:c r="I21" s="61"/>
      <x:c r="J21" s="61" t="str">
        <x:v>resolved</x:v>
      </x:c>
      <x:c r="K21" s="61" t="str">
        <x:v>high</x:v>
      </x:c>
      <x:c r="L21" s="61" t="str">
        <x:v>Asmaa Gad</x:v>
      </x:c>
      <x:c r="M21" s="61" t="str">
        <x:v>https://www.linkedin.com/in/supplychainaipro</x:v>
      </x:c>
      <x:c r="N21" s="61" t="str">
        <x:v>https://www.linkedin.com/feed/update/urn:li:activity:7466778079034769408/</x:v>
      </x:c>
      <x:c r="O21" s="62" t="str">
        <x:v>2026-05-31</x:v>
      </x:c>
      <x:c r="P21" s="61" t="str">
        <x:v>Asmaa Gad</x:v>
      </x:c>
      <x:c r="Q21" s="61" t="str"/>
      <x:c r="R21" s="61" t="str">
        <x:v>Supply Chain AI Pro</x:v>
      </x:c>
      <x:c r="S21" s="61" t="str">
        <x:v>direct_scm</x:v>
      </x:c>
      <x:c r="T21" s="61" t="str">
        <x:v>yes</x:v>
      </x:c>
      <x:c r="U21" s="61" t="str">
        <x:v>https://www.linkedin.com/feed/update/urn:li:activity:7466778079034769408/</x:v>
      </x:c>
      <x:c r="V21" s="22" t="str">
        <x:v>Exact activity ID and caption match; older near-duplicate exists.</x:v>
      </x:c>
      <x:c r="W21" s="61" t="str">
        <x:v>no</x:v>
      </x:c>
      <x:c r="X21" s="61" t="str">
        <x:v>curated_top100_workbook</x:v>
      </x:c>
      <x:c r="Y21" s="22" t="str"/>
    </x:row>
    <x:row r="22" ht="24" customHeight="1">
      <x:c r="A22" s="69" t="n">
        <x:v>21</x:v>
      </x:c>
      <x:c r="B22" s="69" t="n">
        <x:v>23</x:v>
      </x:c>
      <x:c r="C22" s="70" t="str">
        <x:v>If I was setting up LinkedIn outbound from scratch today, here's exactly how I'd build it.
7 patterns Expandi found across 100,000+ conversations from top-performing campaigns:
1. Keep messages short
Under 150 characters lifts replies by 22%.
Cut every word not doing work.
2. Always follow up
Sequences with 2+ follow-ups book 42% more replies than single-shot DMs.
One-shot outbound leaves meetings on the table.
3. Warm the prospect before the ask
Connection requests sent right after a profile view, a like, or a follow hit 30% higher acceptance.
Show up on their radar before you slide into their DMs.
4. Write like a peer, not a pitch
The 4 conversational openers that win:
→ Peer comparison: "We dug into {finding}, want to see what's working for others in {industry}?" (+27% replies)
→ Job change: "Saw you joined {company}, how's {initiative} going?" (+21% replies)
→ Post reference: "Spotted your post on {pain point}, how are you tackling it?" (+19% replies)
→ Trigger-based: "Noticed you're hiring for {roles}, happy with your {topic} setup?" (+18% replies)
5. Personalize every message
Tailored copy lifts replies by 54%.
The extra minutes always pay back.
6. Don't bet everything on LinkedIn
Following up via cold email boosts reply rates by 13%.
Outbound performs best multi-channel.
7. Always have a real reason to reach out
Referencing recent activity (a post, a role change, a new hire) drives 18% more replies.
Generic outreach gets ignored.
→ Benchmarks worth tracking:
Acceptance rate: 40%+
Reply rate: 18%+
Positive reply rate: 8%+
→ The stack we run on:
Expandi for sequencing
Clay for intent and enrichment
Sales Navigator for targeting
Zapier, n8n to wire it all together
What's working for you on LinkedIn?</x:v>
      </x:c>
      <x:c r="D22" s="61" t="str">
        <x:v>2384572421c5d18edb04239a88150d38e02f3c0956bce6546a7f612b3cf87079</x:v>
      </x:c>
      <x:c r="E22" s="61" t="str">
        <x:v>21.jpeg</x:v>
      </x:c>
      <x:c r="F22" s="61" t="str">
        <x:v>/Users/tigershetty/Documents/Codex/2026-06-30/ho/Codex-Linkedin-V3/infographic-setup/references/top 100/21.jpeg</x:v>
      </x:c>
      <x:c r="G22" s="61" t="str">
        <x:v>39bcb14fab4ad41f48a2f125f8ee2b3fff081a6e00f491ab718cedf0bca2eac9</x:v>
      </x:c>
      <x:c r="H22" s="64" t="b">
        <x:v>1</x:v>
      </x:c>
      <x:c r="I22" s="61"/>
      <x:c r="J22" s="61" t="str">
        <x:v>resolved</x:v>
      </x:c>
      <x:c r="K22" s="61" t="str">
        <x:v>high</x:v>
      </x:c>
      <x:c r="L22" s="61" t="str">
        <x:v>Alex Vacca</x:v>
      </x:c>
      <x:c r="M22" s="61" t="str">
        <x:v>https://www.linkedin.com/in/alex-vacca</x:v>
      </x:c>
      <x:c r="N22" s="61" t="str">
        <x:v>https://www.linkedin.com/posts/alex-vacca_if-i-was-setting-up-linkedin-outbound-from-activity-7465701646250070016-gp7t</x:v>
      </x:c>
      <x:c r="O22" s="62" t="str">
        <x:v>2026-05-28</x:v>
      </x:c>
      <x:c r="P22" s="61" t="str">
        <x:v>Alex Vacca and Glenn Miseroy</x:v>
      </x:c>
      <x:c r="Q22" s="61" t="str"/>
      <x:c r="R22" s="61" t="str">
        <x:v>Alex Vacca / Glenn Miseroy; Expandi data</x:v>
      </x:c>
      <x:c r="S22" s="61" t="str">
        <x:v>external_transferable</x:v>
      </x:c>
      <x:c r="T22" s="61" t="str">
        <x:v>no</x:v>
      </x:c>
      <x:c r="U22" s="61" t="str">
        <x:v>https://www.linkedin.com/posts/alex-vacca_if-i-was-setting-up-linkedin-outbound-from-activity-7465701646250070016-gp7t</x:v>
      </x:c>
      <x:c r="V22" s="22" t="str">
        <x:v>Posting author and joint visual credit kept separate from data source.</x:v>
      </x:c>
      <x:c r="W22" s="61" t="str">
        <x:v>no</x:v>
      </x:c>
      <x:c r="X22" s="61" t="str">
        <x:v>curated_top100_workbook</x:v>
      </x:c>
      <x:c r="Y22" s="22" t="str"/>
    </x:row>
    <x:row r="23" ht="24" customHeight="1">
      <x:c r="A23" s="69" t="n">
        <x:v>22</x:v>
      </x:c>
      <x:c r="B23" s="69" t="n">
        <x:v>24</x:v>
      </x:c>
      <x:c r="C23" s="70" t="str">
        <x:v>Nobody told me procurement could feel this powerful.
I just mapped out 𝟮𝟬 𝘄𝗮𝘆𝘀 𝗔𝗜 𝗶𝘀 𝗰𝗼𝗺𝗽𝗹𝗲𝘁𝗲𝗹𝘆 𝘁𝗿𝗮𝗻𝘀𝗳𝗼𝗿𝗺𝗶𝗻𝗴 𝗽𝗿𝗼𝗰𝘂𝗿𝗲𝗺𝗲𝗻𝘁, and honestly, the results are wild.
Here's what's changing RIGHT NOW:
✅ 𝗦𝗽𝗲𝗻𝗱 𝗔𝗻𝗮𝗹𝘆𝘀𝗶𝘀 → AI spots saving opportunities you'd miss in months of manual work
✅ 𝗦𝘂𝗽𝗽𝗹𝗶𝗲𝗿 𝗥𝗶𝘀𝗸 𝗔𝘀𝘀𝗲𝘀𝘀𝗺𝗲𝗻𝘁 → Real-time risk scores before problems hit 
✅ 𝗖𝗼𝗻𝘁𝗿𝗮𝗰𝘁 𝗜𝗻𝘁𝗲𝗹𝗹𝗶𝗴𝗲𝗻𝗰𝗲 → Key terms, gaps &amp; renewal dates extracted in seconds
✅ 𝗥𝗙𝘅 𝗖𝗿𝗲𝗮𝘁𝗶𝗼𝗻 → Tailored RFPs generated from your own strategy
✅ 𝗜𝗻𝘃𝗼𝗶𝗰𝗲 𝗠𝗮𝘁𝗰𝗵𝗶𝗻𝗴 → Exceptions flagged automatically, zero manual chasing
And that's just 𝟱 𝗼𝗳 𝘁𝗵𝗲 𝟮𝟬!
The teams still doing this manually in 2025? They're leaving 𝘁𝗶𝗺𝗲, 𝗺𝗼𝗻𝗲𝘆, 𝗮𝗻𝗱 𝗱𝗲𝗰𝗶𝘀𝗶𝗼𝗻𝘀 on the table.
The shift isn't coming. 𝗜𝘁'𝘀 𝗮𝗹𝗿𝗲𝗮𝗱𝘆 𝗵𝗲𝗿𝗲.
🔖 𝗦𝗮𝘃𝗲 𝘁𝗵𝗶𝘀, you'll want to come back to it when you're ready to implement.
♻️ 𝗥𝗲𝗽𝗼𝘀𝘁 𝘁𝗼 𝘀𝗵𝗮𝗿𝗲 𝘄𝗶𝘁𝗵 𝘆𝗼𝘂𝗿 𝗽𝗿𝗼𝗰𝘂𝗿𝗲𝗺𝗲𝗻𝘁 𝘁𝗲𝗮𝗺, they need to see this.
🔔 𝐅𝐨𝐥𝐥𝐨𝐰 Asmaa Gad &amp; Supply Chain AI Pro for more AI insights!</x:v>
      </x:c>
      <x:c r="D23" s="61" t="str">
        <x:v>2bc4bec98d75d11ae8768a82cad337b6a57b0f046dea7f76ba5d804b0b7b6226</x:v>
      </x:c>
      <x:c r="E23" s="61" t="str">
        <x:v>22.jpeg</x:v>
      </x:c>
      <x:c r="F23" s="61" t="str">
        <x:v>/Users/tigershetty/Documents/Codex/2026-06-30/ho/Codex-Linkedin-V3/infographic-setup/references/top 100/22.jpeg</x:v>
      </x:c>
      <x:c r="G23" s="61" t="str">
        <x:v>90c0a529e053c3bbfa2afb5454aad87db1dbe45c372dcf773371147651970acc</x:v>
      </x:c>
      <x:c r="H23" s="64" t="b">
        <x:v>1</x:v>
      </x:c>
      <x:c r="I23" s="61"/>
      <x:c r="J23" s="61" t="str">
        <x:v>resolved</x:v>
      </x:c>
      <x:c r="K23" s="61" t="str">
        <x:v>high</x:v>
      </x:c>
      <x:c r="L23" s="61" t="str">
        <x:v>Asmaa Gad</x:v>
      </x:c>
      <x:c r="M23" s="61" t="str">
        <x:v>https://www.linkedin.com/in/supplychainaipro</x:v>
      </x:c>
      <x:c r="N23" s="61" t="str">
        <x:v>https://www.linkedin.com/posts/supplychainaipro_nobody-told-me-procurement-could-feel-this-activity-7465654357552824320-Vz0i</x:v>
      </x:c>
      <x:c r="O23" s="62" t="str">
        <x:v>2026-05-28</x:v>
      </x:c>
      <x:c r="P23" s="61" t="str">
        <x:v>Asmaa Gad</x:v>
      </x:c>
      <x:c r="Q23" s="61" t="str"/>
      <x:c r="R23" s="61" t="str">
        <x:v>Supply Chain AI Pro</x:v>
      </x:c>
      <x:c r="S23" s="61" t="str">
        <x:v>direct_scm</x:v>
      </x:c>
      <x:c r="T23" s="61" t="str">
        <x:v>yes</x:v>
      </x:c>
      <x:c r="U23" s="61" t="str">
        <x:v>https://www.linkedin.com/posts/supplychainaipro_nobody-told-me-procurement-could-feel-this-activity-7465654357552824320-Vz0i</x:v>
      </x:c>
      <x:c r="V23" s="22" t="str">
        <x:v>Exact caption and visual match.</x:v>
      </x:c>
      <x:c r="W23" s="61" t="str">
        <x:v>no</x:v>
      </x:c>
      <x:c r="X23" s="61" t="str">
        <x:v>curated_top100_workbook</x:v>
      </x:c>
      <x:c r="Y23" s="22" t="str"/>
    </x:row>
    <x:row r="24" ht="24" customHeight="1">
      <x:c r="A24" s="69" t="n">
        <x:v>23</x:v>
      </x:c>
      <x:c r="B24" s="69" t="n">
        <x:v>25</x:v>
      </x:c>
      <x:c r="C24" s="70" t="str">
        <x:v>LinkedIn isn't too crowded. 
Starting from zero in 2026 is actually the easiest it's been in years.
When Chris and I analyzed 397K posts earlier this month, we found the gap between the top 1% and the average creator is shrinking.
When I started in 2024, a big audience was a massive advantage. Big accounts got more early engagement.
But that advantage is gone. Follower count is not what wins on LinkedIn.
So if I were starting in 2026, this is the exact system I'd follow:
1/ How to go viral
Virality = topic + first line + visual. All 3 need to stop the scroll before someone clicks "see more."
Pick a topic your audience is already interested in. Make line 1 a specific promise, problem, or surprise (authority, personal story, or humor), and pair it with a visual interesting enough to stop the scroll.
2/ Set a content strategy
LinkedIn posts do 1 of 3 things: grow your audience, build trust, or drive sales. Most people stick to growth content cuz it's easier, but growth alone won't convert anyone into a lead.
Post educational infographics and carousels 4x a week to grow, personal stories 2x a week to build trust, and case studies 1x a week to drive leads.
3/ Write for LinkedIn
The best posts are between 1,250 and 3,000 characters. That gives you enough space to set up the problem, make people care, and give them something useful.
Make sure your posts read like you speak. No one wants to read a formal report or a try-hard joke.
4/ Post more videos
Video builds trust better than almost any other format.
Use it for educational content, stories and skits, or client testimonials. One video a week is enough.
5/ Create lead magnets
Build a freebie that solves one narrow, painful problem for your target audience. A prompt library, a checklist, a template, or a swipe file all work.
Give it away in exchange for an email.
6/ LinkedIn power hour
You don't need to spend all day on LinkedIn. All you need is a daily system - I recommend the power hour.
Comment thoughtfully on 5-10 posts in your niche. Share a post that solves a real problem for your audience. Reply to every comment you get within the first hour. Then DM the people who engaged with you.
Anyone can start building a personal brand today. Don’t fall behind.
📌 Want a high res pdf of this?
Get it here: https://lnkd.in/gKzZUq-b
♻️ Repost to help your network build personal brands in 2026
➕ Follow me (Will McTighe) for more like this.</x:v>
      </x:c>
      <x:c r="D24" s="61" t="str">
        <x:v>4c32e238268060faf0ff36dc96b6eb86d56170b17aabaed6cb1a7e7841217dca</x:v>
      </x:c>
      <x:c r="E24" s="61" t="str">
        <x:v>23.jpeg</x:v>
      </x:c>
      <x:c r="F24" s="61" t="str">
        <x:v>/Users/tigershetty/Documents/Codex/2026-06-30/ho/Codex-Linkedin-V3/infographic-setup/references/top 100/23.jpeg</x:v>
      </x:c>
      <x:c r="G24" s="61" t="str">
        <x:v>c0d018664070fa4261803954698761eecb31baf6b1430eff188b5f567a16bd25</x:v>
      </x:c>
      <x:c r="H24" s="64" t="b">
        <x:v>1</x:v>
      </x:c>
      <x:c r="I24" s="61"/>
      <x:c r="J24" s="61" t="str">
        <x:v>resolved</x:v>
      </x:c>
      <x:c r="K24" s="61" t="str">
        <x:v>high</x:v>
      </x:c>
      <x:c r="L24" s="61" t="str">
        <x:v>Will McTighe</x:v>
      </x:c>
      <x:c r="M24" s="61" t="str">
        <x:v>https://www.linkedin.com/in/will-mctighe</x:v>
      </x:c>
      <x:c r="N24" s="61" t="str">
        <x:v>https://www.linkedin.com/posts/will-mctighe_linkedin-isnt-too-crowded-starting-from-activity-7465748779611197440-ZIBR</x:v>
      </x:c>
      <x:c r="O24" s="62" t="str">
        <x:v>2026-05-28</x:v>
      </x:c>
      <x:c r="P24" s="61" t="str">
        <x:v>Will McTighe</x:v>
      </x:c>
      <x:c r="Q24" s="61" t="str"/>
      <x:c r="R24" s="61" t="str">
        <x:v>Will McTighe</x:v>
      </x:c>
      <x:c r="S24" s="61" t="str">
        <x:v>external_transferable</x:v>
      </x:c>
      <x:c r="T24" s="61" t="str">
        <x:v>no</x:v>
      </x:c>
      <x:c r="U24" s="61" t="str">
        <x:v>https://www.linkedin.com/posts/will-mctighe_linkedin-isnt-too-crowded-starting-from-activity-7465748779611197440-ZIBR</x:v>
      </x:c>
      <x:c r="V24" s="22" t="str">
        <x:v>Exact caption and visual match.</x:v>
      </x:c>
      <x:c r="W24" s="61" t="str">
        <x:v>no</x:v>
      </x:c>
      <x:c r="X24" s="61" t="str">
        <x:v>curated_top100_workbook</x:v>
      </x:c>
      <x:c r="Y24" s="22" t="str"/>
    </x:row>
    <x:row r="25" ht="24" customHeight="1">
      <x:c r="A25" s="69" t="n">
        <x:v>24</x:v>
      </x:c>
      <x:c r="B25" s="69" t="n">
        <x:v>26</x:v>
      </x:c>
      <x:c r="C25" s="70" t="str">
        <x:v>You’ve heard of OKRs. You’ve tracked KPIs.
But do you know the CSFs that make them work?
Here’s the breakdown every CEO needs to know:
OKRs (Objectives &amp; Key Results)
- Define bold goals
- Stretch teams with measurable outcomes
- Align everyone around what matters most
KPIs (Key Performance Indicators)
- Track ongoing performance
- Show if you’re on or off track
- Keep your business healthy day to day
CSFs (Critical Success Factors)
- Identify the must-win areas
- Focus resources where success depends most
- Form the foundation of your strategy
Think of it like this:
CSFs = What’s critical to succeed
OKRs = The goals you set to achieve it
KPIs = The metrics that show progress
The mistake most leaders make is using these tools in isolation.
The best leaders combine all 3.
Every company has KPIs.
Some have OKRs.
But only the great ones know their CSFs.
Because growth without focus is just noise.
- - - 
P.S. Want a PDF of my OKRs KPIs CSFs cheat sheet?
Get it free here: https://lnkd.in/eS27U9YK
♻ Repost to help someone in your network.
📌 Want to achieve even more success as a CEO?
Only 4 days left to get the special offer for our
next cohort of The Founder &amp; CEO Accelerator.
Learn more and apply: https://lnkd.in/eW6EEGej</x:v>
      </x:c>
      <x:c r="D25" s="61" t="str">
        <x:v>49a46a598107693a86576863e7c9fc192de391f56fbf606d6c7ee8c4b629877a</x:v>
      </x:c>
      <x:c r="E25" s="61" t="str">
        <x:v>24.jpeg</x:v>
      </x:c>
      <x:c r="F25" s="61" t="str">
        <x:v>/Users/tigershetty/Documents/Codex/2026-06-30/ho/Codex-Linkedin-V3/infographic-setup/references/top 100/24.jpeg</x:v>
      </x:c>
      <x:c r="G25" s="61" t="str">
        <x:v>ce7d8545d091a735615dfb78c7565a653470c542342b206d335b2a22d75e25af</x:v>
      </x:c>
      <x:c r="H25" s="64" t="b">
        <x:v>1</x:v>
      </x:c>
      <x:c r="I25" s="61"/>
      <x:c r="J25" s="61" t="str">
        <x:v>resolved</x:v>
      </x:c>
      <x:c r="K25" s="61" t="str">
        <x:v>high</x:v>
      </x:c>
      <x:c r="L25" s="61" t="str">
        <x:v>Eric Partaker</x:v>
      </x:c>
      <x:c r="M25" s="61" t="str">
        <x:v>https://www.linkedin.com/in/ericpartaker</x:v>
      </x:c>
      <x:c r="N25" s="61" t="str">
        <x:v>https://www.linkedin.com/posts/ericpartaker_youve-heard-of-okrs-youve-tracked-kpis-activity-7465695889701990400-R6LQ</x:v>
      </x:c>
      <x:c r="O25" s="62" t="str">
        <x:v>2026-05-28</x:v>
      </x:c>
      <x:c r="P25" s="61" t="str">
        <x:v>Eric Partaker</x:v>
      </x:c>
      <x:c r="Q25" s="61" t="str"/>
      <x:c r="R25" s="61" t="str">
        <x:v>Eric Partaker</x:v>
      </x:c>
      <x:c r="S25" s="61" t="str">
        <x:v>external_transferable</x:v>
      </x:c>
      <x:c r="T25" s="61" t="str">
        <x:v>no</x:v>
      </x:c>
      <x:c r="U25" s="61" t="str">
        <x:v>https://www.linkedin.com/posts/ericpartaker_youve-heard-of-okrs-youve-tracked-kpis-activity-7465695889701990400-R6LQ</x:v>
      </x:c>
      <x:c r="V25" s="22" t="str">
        <x:v>Exact caption and visual match.</x:v>
      </x:c>
      <x:c r="W25" s="61" t="str">
        <x:v>no</x:v>
      </x:c>
      <x:c r="X25" s="61" t="str">
        <x:v>curated_top100_workbook</x:v>
      </x:c>
      <x:c r="Y25" s="22" t="str"/>
    </x:row>
    <x:row r="26" ht="24" customHeight="1">
      <x:c r="A26" s="69" t="n">
        <x:v>25</x:v>
      </x:c>
      <x:c r="B26" s="69" t="n">
        <x:v>27</x:v>
      </x:c>
      <x:c r="C26" s="70" t="str">
        <x:v>Here is a highly concise, executive summary of the Supply Chain Metrics cheat sheet. It condenses the 14 key performance indicators into 4 core operational pillars for fast, high-level review.
1. Demand &amp; Capacity Planning
Forecast Accuracy: Measures variance between forecasted and actual demand to reduce planning variability.
Capacity Utilization: Tracks actual vs. maximum possible production output to balance underutilization against operational overload.
2. Sourcing, Inventory &amp; Cost Efficiency
Inventory Turnover &amp; Days of Inventory (DOI): Dual metrics tracking asset efficiency—how fast stock sells versus how many days of supply are tied up in inventory.
Total Landing Cost: Captures the true, fully burdened cost of an item (Price + Freight + Duties + Handling).
Cash-to-Cash Cycle Time: Measures total days cash is frozen between paying suppliers (DPO) and collecting revenue (DSO), influenced by inventory velocity (DIO).
3. Warehouse &amp; Logistics Speed
Dock-to-Stock Cycle Time: Measures the internal throughput speed from receiving goods to warehouse stock availability.
Order-to-Delivery Lead Time: Tracks total elapsed time from the initial customer order date to the final physical delivery date.
Supply Chain Cycle Time: An end-to-end macro metric covering the entire SCOR model workflow: $\text{Plan} \rightarrow \text{Source} \rightarrow \text{Make} \rightarrow \text{Deliver} \rightarrow \text{Return}$.
4. Customer Fulfillment &amp; Service Level
Perfect Order Rate: The ultimate reliability standard—orders delivered on time, complete, damage-free, and accurately documented.
On-Time In-Full (OTIF): Measures the baseline execution performance of delivery punctuality and completeness.
Fill Rate vs. Backorder Rate: Inverse indicators tracking immediate product availability from stock versus the percentage of demand delayed due to stockouts.</x:v>
      </x:c>
      <x:c r="D26" s="61" t="str">
        <x:v>7986d69ae58c8a3cfd0f00056e1a091684c0df733b4a2b8e1b9139ce35c066a2</x:v>
      </x:c>
      <x:c r="E26" s="61" t="str">
        <x:v>25.jpeg</x:v>
      </x:c>
      <x:c r="F26" s="61" t="str">
        <x:v>/Users/tigershetty/Documents/Codex/2026-06-30/ho/Codex-Linkedin-V3/infographic-setup/references/top 100/25.jpeg</x:v>
      </x:c>
      <x:c r="G26" s="61" t="str">
        <x:v>ad541107cc2fb97b6af5d3699f99cc3d4ac75837e363c76f8366b1844345a7f8</x:v>
      </x:c>
      <x:c r="H26" s="64" t="b">
        <x:v>1</x:v>
      </x:c>
      <x:c r="I26" s="61"/>
      <x:c r="J26" s="61" t="str">
        <x:v>resolved</x:v>
      </x:c>
      <x:c r="K26" s="61" t="str">
        <x:v>medium</x:v>
      </x:c>
      <x:c r="L26" s="61" t="str">
        <x:v>Amit Kumar Rai</x:v>
      </x:c>
      <x:c r="M26" s="61" t="str">
        <x:v>https://www.linkedin.com/in/amit-kumar-rai-a945842b</x:v>
      </x:c>
      <x:c r="N26" s="61" t="str">
        <x:v>https://www.linkedin.com/posts/amit-kumar-rai-a945842b_here-is-a-highly-concise-executive-summary-activity-7464969341328019456-eHeb</x:v>
      </x:c>
      <x:c r="O26" s="62" t="str">
        <x:v>2026-05-26</x:v>
      </x:c>
      <x:c r="P26" s="61" t="str">
        <x:v>unresolved</x:v>
      </x:c>
      <x:c r="Q26" s="61" t="str"/>
      <x:c r="R26" s="61" t="str">
        <x:v>The Invisible Supply Chain Newsletter</x:v>
      </x:c>
      <x:c r="S26" s="61" t="str">
        <x:v>direct_scm</x:v>
      </x:c>
      <x:c r="T26" s="61" t="str">
        <x:v>no</x:v>
      </x:c>
      <x:c r="U26" s="61" t="str">
        <x:v>https://www.linkedin.com/posts/amit-kumar-rai-a945842b_here-is-a-highly-concise-executive-summary-activity-7464969341328019456-eHeb</x:v>
      </x:c>
      <x:c r="V26" s="22" t="str">
        <x:v>Exact post slug supports author; personal profile redirect and visual ownership still require verification.</x:v>
      </x:c>
      <x:c r="W26" s="61" t="str">
        <x:v>no</x:v>
      </x:c>
      <x:c r="X26" s="61" t="str">
        <x:v>curated_top100_workbook</x:v>
      </x:c>
      <x:c r="Y26" s="22" t="str"/>
    </x:row>
    <x:row r="27" ht="24" customHeight="1">
      <x:c r="A27" s="69" t="n">
        <x:v>26</x:v>
      </x:c>
      <x:c r="B27" s="69" t="n">
        <x:v>28</x:v>
      </x:c>
      <x:c r="C27" s="70" t="str">
        <x:v>Most plants don’t have a Lean problem.
They have a layer problem.
They try to improve culture before standard work exists.
They ask for accountability before the work is visible.
They install dashboards before people agree what “normal” looks like.
They run Kaizen events before daily management is stable.
And then everyone wonders why the improvement doesn’t hold.
A Lean operation is built in layers:
1. Standard work
2. isual management
3. Daily management
4. CI systems
5. Culture
Culture is NOT where you start.
Culture is what shows up after the lower layers become real on the floor.
If the standard is unclear, the board won’t save you.
If the board is ignored, the meeting won’t save you.
If the meeting has no action, the culture won’t change.
Start where the work happens.
Make the standard VISIBLE.
Then manage the gap every day.
That’s where Lean starts to hold.
What layer is weakest in most plants you’ve seen?</x:v>
      </x:c>
      <x:c r="D27" s="61" t="str">
        <x:v>7a5ce8eb729deac135e2eb50fe74345fbe27e538e9d2f84ffdc83f56d73014af</x:v>
      </x:c>
      <x:c r="E27" s="61" t="str">
        <x:v>26.jpeg</x:v>
      </x:c>
      <x:c r="F27" s="61" t="str">
        <x:v>/Users/tigershetty/Documents/Codex/2026-06-30/ho/Codex-Linkedin-V3/infographic-setup/references/top 100/26.jpeg</x:v>
      </x:c>
      <x:c r="G27" s="61" t="str">
        <x:v>cb4570ff11b6b930960b0c1d5a7ebdebaf0147bb779492d20cdd2ccdd49bb317</x:v>
      </x:c>
      <x:c r="H27" s="64" t="b">
        <x:v>1</x:v>
      </x:c>
      <x:c r="I27" s="61"/>
      <x:c r="J27" s="61" t="str">
        <x:v>resolved</x:v>
      </x:c>
      <x:c r="K27" s="61" t="str">
        <x:v>high</x:v>
      </x:c>
      <x:c r="L27" s="61" t="str">
        <x:v>Marek Dabrowski</x:v>
      </x:c>
      <x:c r="M27" s="61" t="str">
        <x:v>https://www.linkedin.com/in/marek-dabrowski-8a502370</x:v>
      </x:c>
      <x:c r="N27" s="61" t="str">
        <x:v>https://www.linkedin.com/posts/marek-dabrowski-8a502370_leanmanufacturing-continuousimprovement-activity-7464950856669458432-21wj</x:v>
      </x:c>
      <x:c r="O27" s="62" t="str">
        <x:v>2026-05-26</x:v>
      </x:c>
      <x:c r="P27" s="61" t="str">
        <x:v>Marek Dabrowski</x:v>
      </x:c>
      <x:c r="Q27" s="61" t="str"/>
      <x:c r="R27" s="61" t="str">
        <x:v>unresolved</x:v>
      </x:c>
      <x:c r="S27" s="61" t="str">
        <x:v>implementation_adjacent</x:v>
      </x:c>
      <x:c r="T27" s="61" t="str">
        <x:v>no</x:v>
      </x:c>
      <x:c r="U27" s="61" t="str">
        <x:v>https://www.linkedin.com/posts/marek-dabrowski-8a502370_leanmanufacturing-continuousimprovement-activity-7464950856669458432-21wj</x:v>
      </x:c>
      <x:c r="V27" s="22" t="str">
        <x:v>Exact caption match; separate visual owner is not visible.</x:v>
      </x:c>
      <x:c r="W27" s="61" t="str">
        <x:v>no</x:v>
      </x:c>
      <x:c r="X27" s="61" t="str">
        <x:v>curated_top100_workbook</x:v>
      </x:c>
      <x:c r="Y27" s="22" t="str"/>
    </x:row>
    <x:row r="28" ht="24" customHeight="1">
      <x:c r="A28" s="69" t="n">
        <x:v>27</x:v>
      </x:c>
      <x:c r="B28" s="69" t="n">
        <x:v>29</x:v>
      </x:c>
      <x:c r="C28" s="70" t="str">
        <x:v>Last August, I was broke AF posting on a dead LinkedIn account. 35K followers later, I'm living proof content hacks are bullshit. Steal my 3-bucket system:
Don't @ me. I'm not a "LinkedInfluencer." All I figured out is clients hire YOU for personality. Expertise only gets you in the room.
Get this and you stop begging for clients. But most of y'all do the opposite, trying to:
- sound smart instead of real
- avoid personal stories at all costs
- overrely on AI before writing a single sentence
All to avoid cringe. Babe, your AI crap is doing the cringing for you.
My entire pipeline runs on 3 post types:
1/ Life content: my observations &amp; hot takes
Makes people feel seen. I write about:
- Permission to be myself
- Living with an autistic &amp; ADHD brain
- Relationships that broke me and built me
- Never quite fitting the corporate mold (shocker)
→ paired with selfies and candid shots
2/ Expertise content: specific methods and processes
Proves you know your sh*t. I write about:
- Personality-first positioning, my whole methodology
- Writing hooks that make people feel something
- Turning messy expertise into clear offers
- The LinkedIn stuff nobody teaches
→ paired with infographics, screenshots, and framework visuals
3/ Business content: client stories &amp; decisions
Makes them want to reach out NOW. I write about:
- Client transformations told through my lens
- New launches (+ the thinking behind them)
- The messy ops of being a solopreneur
- The wins I'm proud of and why
→ paired with screenshots, selfies, BTS shots
All 3 post types start with a lived moment. That's personality-first to a tee.
If you don't know where to start, steal my 15 best-performing angles.
PS: love the infographic? Vince Pierri and I are building one live + writing the post next week. Price jumps Friday. Click "Visit my website" to grab a spot.</x:v>
      </x:c>
      <x:c r="D28" s="61" t="str">
        <x:v>bf0ae8879aa001163adb4dbcb115fc97f447766266d490ad369504934ce31e91</x:v>
      </x:c>
      <x:c r="E28" s="61" t="str">
        <x:v>27.gif</x:v>
      </x:c>
      <x:c r="F28" s="61" t="str">
        <x:v>/Users/tigershetty/Documents/Codex/2026-06-30/ho/Codex-Linkedin-V3/infographic-setup/references/top 100/27.gif</x:v>
      </x:c>
      <x:c r="G28" s="61" t="str">
        <x:v>4e723c25a4130f096c4d76fb8d7d764a39adfe9706f78e4b37db2654902ce149</x:v>
      </x:c>
      <x:c r="H28" s="64" t="b">
        <x:v>1</x:v>
      </x:c>
      <x:c r="I28" s="61"/>
      <x:c r="J28" s="61" t="str">
        <x:v>resolved</x:v>
      </x:c>
      <x:c r="K28" s="61" t="str">
        <x:v>high</x:v>
      </x:c>
      <x:c r="L28" s="61" t="str">
        <x:v>Magali De Reu</x:v>
      </x:c>
      <x:c r="M28" s="61" t="str">
        <x:v>https://www.linkedin.com/in/magalidereu</x:v>
      </x:c>
      <x:c r="N28" s="61" t="str">
        <x:v>https://www.linkedin.com/posts/magalidereu_last-august-i-was-broke-af-posting-on-a-activity-7465337376018481152-L_Hr</x:v>
      </x:c>
      <x:c r="O28" s="62" t="str">
        <x:v>2026-05-27</x:v>
      </x:c>
      <x:c r="P28" s="61" t="str">
        <x:v>Magali De Reu</x:v>
      </x:c>
      <x:c r="Q28" s="61" t="str"/>
      <x:c r="R28" s="61" t="str">
        <x:v>Personality-First Brands / Magali De Reu</x:v>
      </x:c>
      <x:c r="S28" s="61" t="str">
        <x:v>external_transferable</x:v>
      </x:c>
      <x:c r="T28" s="61" t="str">
        <x:v>no</x:v>
      </x:c>
      <x:c r="U28" s="61" t="str">
        <x:v>https://www.linkedin.com/posts/magalidereu_last-august-i-was-broke-af-posting-on-a-activity-7465337376018481152-L_Hr</x:v>
      </x:c>
      <x:c r="V28" s="22" t="str">
        <x:v>Collaborator named in caption is not proven visual owner.</x:v>
      </x:c>
      <x:c r="W28" s="61" t="str">
        <x:v>no</x:v>
      </x:c>
      <x:c r="X28" s="61" t="str">
        <x:v>curated_top100_workbook</x:v>
      </x:c>
      <x:c r="Y28" s="22" t="str"/>
    </x:row>
    <x:row r="29" ht="24" customHeight="1">
      <x:c r="A29" s="69" t="n">
        <x:v>28</x:v>
      </x:c>
      <x:c r="B29" s="69" t="n">
        <x:v>30</x:v>
      </x:c>
      <x:c r="C29" s="70" t="str">
        <x:v>LinkedIn rewards the people who understand how it works.
Here is what the data shows:
54% of people find you through your posts.
30% through your comments.
15% through network recommendations.
Less than 1% through search.
Comment strategically. Every sharp comment is a profile visit waiting to happen.
Beyond that:
- Your best post from 90 days ago is new to 40% of your current followers. Repost it.
- Reddit, your DMs, Grok - your audience is telling you exactly what to post about. You just have to look.
- Design for mobile first. One idea per slide. High contrast and large text.
- Batch your content. Collect, write, build visuals, schedule - all in one system.
The people growing fast on LinkedIn run a better system.</x:v>
      </x:c>
      <x:c r="D29" s="61" t="str">
        <x:v>a8992bb757ae004cd9ab783e21087715b34a30242d1e743dd5f11f5dfe2d6a51</x:v>
      </x:c>
      <x:c r="E29" s="61" t="str">
        <x:v>28.jpeg</x:v>
      </x:c>
      <x:c r="F29" s="61" t="str">
        <x:v>/Users/tigershetty/Documents/Codex/2026-06-30/ho/Codex-Linkedin-V3/infographic-setup/references/top 100/28.jpeg</x:v>
      </x:c>
      <x:c r="G29" s="61" t="str">
        <x:v>873a732063970b470fc675527cf818db0f12fda0ec91e82d855fe65666a48518</x:v>
      </x:c>
      <x:c r="H29" s="64" t="b">
        <x:v>1</x:v>
      </x:c>
      <x:c r="I29" s="61"/>
      <x:c r="J29" s="61" t="str">
        <x:v>resolved</x:v>
      </x:c>
      <x:c r="K29" s="61" t="str">
        <x:v>high</x:v>
      </x:c>
      <x:c r="L29" s="61" t="str">
        <x:v>Yonathan Levy</x:v>
      </x:c>
      <x:c r="M29" s="61" t="str">
        <x:v>https://www.linkedin.com/in/yonathan-levy</x:v>
      </x:c>
      <x:c r="N29" s="61" t="str">
        <x:v>https://www.linkedin.com/posts/yonathan-levy_linkedin-rewards-the-people-who-understand-activity-7437105309875183616-v30x</x:v>
      </x:c>
      <x:c r="O29" s="62" t="str">
        <x:v>2026-03-10</x:v>
      </x:c>
      <x:c r="P29" s="61" t="str">
        <x:v>Yonathan Levy</x:v>
      </x:c>
      <x:c r="Q29" s="61" t="str"/>
      <x:c r="R29" s="61" t="str">
        <x:v>Yonathan Levy</x:v>
      </x:c>
      <x:c r="S29" s="61" t="str">
        <x:v>external_transferable</x:v>
      </x:c>
      <x:c r="T29" s="61" t="str">
        <x:v>no</x:v>
      </x:c>
      <x:c r="U29" s="61" t="str">
        <x:v>https://www.linkedin.com/posts/yonathan-levy_linkedin-rewards-the-people-who-understand-activity-7437105309875183616-v30x</x:v>
      </x:c>
      <x:c r="V29" s="22" t="str">
        <x:v>Use the hyphenated France profile; exact caption match.</x:v>
      </x:c>
      <x:c r="W29" s="61" t="str">
        <x:v>no</x:v>
      </x:c>
      <x:c r="X29" s="61" t="str">
        <x:v>curated_top100_workbook</x:v>
      </x:c>
      <x:c r="Y29" s="22" t="str"/>
    </x:row>
    <x:row r="30" ht="24" customHeight="1">
      <x:c r="A30" s="69" t="n">
        <x:v>29</x:v>
      </x:c>
      <x:c r="B30" s="69" t="n">
        <x:v>31</x:v>
      </x:c>
      <x:c r="C30" s="70" t="str">
        <x:v>𝗬𝗼𝘂𝗿 𝗔𝗜 𝘁𝗼𝗼𝗹 𝗶𝘀𝗻'𝘁 𝘁𝗵𝗲 𝗽𝗿𝗼𝗯𝗹𝗲𝗺. 𝗬𝗼𝘂𝗿 𝗔𝗜 𝗺𝗮𝘁𝘂𝗿𝗶𝘁𝘆 𝗹𝗲𝘃𝗲𝗹 𝗶𝘀.
Most procurement teams buy AI tools at Level 4, but their organization is still operating at Level 1.
That's not transformation. That's expensive chaos.
There are 5 levels of Procurement AI maturity. Here's 𝘄𝗵𝗲𝗿𝗲 𝘁𝗲𝗮𝗺𝘀 𝗮𝗰𝘁𝘂𝗮𝗹𝗹𝘆 𝘀𝘁𝗮𝗻𝗱, and what each level really means 👇
🟡 𝗟𝗲𝘃𝗲𝗹 𝟭 — 𝗙𝗼𝘂𝗻𝗱𝗮𝘁𝗶𝗼𝗻𝗮𝗹 𝗔𝗜 | Automation
→ AI for data categorization &amp; PO processing
→ Build a robust data platform
⚠️ You're automating tasks. You are NOT yet doing AI.
🔵 𝗟𝗲𝘃𝗲𝗹 𝟮 — 𝗣𝗿𝗼𝗰𝗲𝘀𝘀 𝗔𝗜 | Efficiency
→ Optimize sourcing events &amp; contract reviews
→ Streamline the P2P cycle
⚠️ You're saving time. You are NOT yet saving money strategically.
🟣 𝗟𝗲𝘃𝗲𝗹 𝟯 — 𝗖𝗼𝗴𝗻𝗶𝘁𝗶𝘃𝗲 𝗔𝗜 | Insights
→ Analyze spend patterns for strategic saving
→ Predict demand &amp; market trends
⚠️ You're generating insights. You are NOT yet making AI-driven decisions.
🔴 𝗟𝗲𝘃𝗲𝗹 𝟰 — 𝗣𝗿𝗲𝘀𝗰𝗿𝗶𝗽𝘁𝗶𝘃𝗲 𝗔𝗜 | Optimization
→ Automate negotiation strategies &amp; risk scoring
→ AI-recommended supplier selection
⚠️ You're optimizing. You are NOT yet fully strategic.
🟢 𝗟𝗲𝘃𝗲𝗹 𝟱 — 𝗦𝘁𝗿𝗮𝘁𝗲𝗴𝗶𝗰 𝗔𝗜 | Integration
→ AI drives value with product design
→ Real-time global supply chain sync achieved
✅ 𝗣𝗿𝗼𝗰𝘂𝗿𝗲𝗺𝗲𝗻𝘁 𝗶𝘀𝗻'𝘁 𝗮 𝗳𝘂𝗻𝗰𝘁𝗶𝗼𝗻 𝗮𝗻𝘆𝗺𝗼𝗿𝗲, 𝗶𝘁'𝘀 𝗮 𝗰𝗼𝗺𝗽𝗲𝘁𝗶𝘁𝗶𝘃𝗲 𝘄𝗲𝗮𝗽𝗼𝗻.
𝗧𝗵𝗲 𝗯𝗶𝗴𝗴𝗲𝘀𝘁 𝗺𝗶𝘀𝘁𝗮𝗸𝗲 𝗶𝗻 𝗽𝗿𝗼𝗰𝘂𝗿𝗲𝗺𝗲𝗻𝘁 𝗔𝗜?
Skipping the foundation and chasing the top.
You can't predict market trends (L3) if your data is messy (L1).
You can't automate negotiations (L4) if your processes aren't optimized (L2).
𝗕𝘂𝗶𝗹𝗱 𝘁𝗵𝗲 𝗳𝗹𝗼𝗼𝗿 𝗯𝗲𝗳𝗼𝗿𝗲 𝘆𝗼𝘂 𝗯𝘂𝗶𝗹𝗱 𝘁𝗵𝗲 𝗿𝗼𝗼𝗳.
Which level is your team 𝗮𝗰𝘁𝘂𝗮𝗹𝗹𝘆 at... not the level you present in board meetings? 👇
🔖 𝗦𝗮𝘃𝗲 this, it's your procurement AI maturity roadmap, come back to it every quarter.
♻️ 𝗥𝗲𝗽𝗼𝘀𝘁 and tag someone who needs to hear this before they buy another AI tool they're not ready for.
🔔 𝐅𝐨𝐥𝐥𝐨𝐰 Asmaa Gad &amp; Supply Chain AI Pro for more AI insights!</x:v>
      </x:c>
      <x:c r="D30" s="61" t="str">
        <x:v>d5cfa37c83c4321bef55ae79c53d261aae9cdaf206bbbb9afef2f1d47ff38933</x:v>
      </x:c>
      <x:c r="E30" s="61" t="str">
        <x:v>29.jpeg</x:v>
      </x:c>
      <x:c r="F30" s="61" t="str">
        <x:v>/Users/tigershetty/Documents/Codex/2026-06-30/ho/Codex-Linkedin-V3/infographic-setup/references/top 100/29.jpeg</x:v>
      </x:c>
      <x:c r="G30" s="61" t="str">
        <x:v>e640db11ca4f18a5365841888615830bfa274c39bac2cae105cd87fc23cdc97f</x:v>
      </x:c>
      <x:c r="H30" s="64" t="b">
        <x:v>1</x:v>
      </x:c>
      <x:c r="I30" s="61"/>
      <x:c r="J30" s="61" t="str">
        <x:v>resolved</x:v>
      </x:c>
      <x:c r="K30" s="61" t="str">
        <x:v>high</x:v>
      </x:c>
      <x:c r="L30" s="61" t="str">
        <x:v>Asmaa Gad</x:v>
      </x:c>
      <x:c r="M30" s="61" t="str">
        <x:v>https://www.linkedin.com/in/supplychainaipro</x:v>
      </x:c>
      <x:c r="N30" s="61" t="str">
        <x:v>https://www.linkedin.com/feed/update/urn:li:activity:7464933759554015232/</x:v>
      </x:c>
      <x:c r="O30" s="62" t="str">
        <x:v>2026-05-26</x:v>
      </x:c>
      <x:c r="P30" s="61" t="str">
        <x:v>Asmaa Gad</x:v>
      </x:c>
      <x:c r="Q30" s="61" t="str"/>
      <x:c r="R30" s="61" t="str">
        <x:v>Supply Chain AI Pro</x:v>
      </x:c>
      <x:c r="S30" s="61" t="str">
        <x:v>direct_scm</x:v>
      </x:c>
      <x:c r="T30" s="61" t="str">
        <x:v>yes</x:v>
      </x:c>
      <x:c r="U30" s="61" t="str">
        <x:v>https://www.linkedin.com/feed/update/urn:li:activity:7464933759554015232/</x:v>
      </x:c>
      <x:c r="V30" s="22" t="str">
        <x:v>Eric Partaker is credited only for format inspiration.</x:v>
      </x:c>
      <x:c r="W30" s="61" t="str">
        <x:v>no</x:v>
      </x:c>
      <x:c r="X30" s="61" t="str">
        <x:v>curated_top100_workbook</x:v>
      </x:c>
      <x:c r="Y30" s="22" t="str"/>
    </x:row>
    <x:row r="31" ht="24" customHeight="1">
      <x:c r="A31" s="69" t="n">
        <x:v>30</x:v>
      </x:c>
      <x:c r="B31" s="69" t="n">
        <x:v>32</x:v>
      </x:c>
      <x:c r="C31" s="70" t="str">
        <x:v>I've helped write 84,000 LinkedIn posts.
8 stages every account must go through to grow: 
 1. Profile optimisation:
✅ Profile picture → high quality and approachable
✅ Headline → sell the outcome not the process 
✅ Banner → this is your billboard make it pretty
✅ About → their pain, solution, next steps
✅ Featured → single path to your offers
2. Choosing your content pillars:
🏛️ Pick 2-4 topics you could write 100 posts on
🏛️ At least one pillar solves your audience's problem
🏛️ At least one pillar shows your lived experience
🏛️ Post about these topics every week 
3. Using AI to create content:
🤖 Write the first draft yourself or provide the info 
🤖 Use AI to improve, not replace your thinking
🤖 Ask AI what the weakest part of your post is
🤖 Ask AI to rate your hook out of 10 
4. Engagement:
💬 Comment on big creators for visibility
💬 Comment on mid creators for relationships
💬 Comment on peers for community
💬 10 intentional comments beats 50 lazy ones
5. Testing and learning:
🧪 Test one new format per week
🧪 Listicle, story, contrarian take, infographic
🧪 Study your top 3 posts. Do more of those. 
🧪 What works once usually works again
6. Tracking:
👣 Saves = your content has real value
👣 Profile views = your hook worked
👣 DMs = your content is converting
👣 Booked calls = you're reaching the right person
7. DMs and outreach:
📩 Reach out to people who view your profile
📩 Lead with insight about their world not your pitch
📩 Always ask a question to keep the conversation going
📩 Start with a compliment it always works 
8. Follow the pros:
💙 Jasmin Alić
💙 Kait LeDonne
💙 Shoaib Ahmed
💙 Nikolett Jaksa
💙 Devin Reed
💙 Alicia Teltz
Start at stage one and don't skip anything.
♻️ Repost so your network sees this.
📊 Follow Stanley for LinkedIn tips backed by data.</x:v>
      </x:c>
      <x:c r="D31" s="61" t="str">
        <x:v>749e72d6693caa1ab8a601c87fc13ede8528c32f4be5db5657c959bdbc48fb96</x:v>
      </x:c>
      <x:c r="E31" s="61" t="str">
        <x:v>30.jpeg</x:v>
      </x:c>
      <x:c r="F31" s="61" t="str">
        <x:v>/Users/tigershetty/Documents/Codex/2026-06-30/ho/Codex-Linkedin-V3/infographic-setup/references/top 100/30.jpeg</x:v>
      </x:c>
      <x:c r="G31" s="61" t="str">
        <x:v>7c24eb64f6622e454cf48955ed59d5ade84cb69d9ecf21d3a03b111fe1f81f59</x:v>
      </x:c>
      <x:c r="H31" s="64" t="b">
        <x:v>1</x:v>
      </x:c>
      <x:c r="I31" s="61"/>
      <x:c r="J31" s="61" t="str">
        <x:v>resolved</x:v>
      </x:c>
      <x:c r="K31" s="61" t="str">
        <x:v>high</x:v>
      </x:c>
      <x:c r="L31" s="61" t="str">
        <x:v>Stanley</x:v>
      </x:c>
      <x:c r="M31" s="61" t="str">
        <x:v>https://www.linkedin.com/company/stanley-from-stan</x:v>
      </x:c>
      <x:c r="N31" s="61" t="str">
        <x:v>https://www.linkedin.com/posts/stanley-from-stan_ive-helped-write-84000-linkedin-posts-activity-7464684274374529025-F-Zl</x:v>
      </x:c>
      <x:c r="O31" s="62" t="str">
        <x:v>2026-05-25</x:v>
      </x:c>
      <x:c r="P31" s="61" t="str">
        <x:v>Stanley</x:v>
      </x:c>
      <x:c r="Q31" s="61" t="str"/>
      <x:c r="R31" s="61" t="str">
        <x:v>Stanley</x:v>
      </x:c>
      <x:c r="S31" s="61" t="str">
        <x:v>external_transferable</x:v>
      </x:c>
      <x:c r="T31" s="61" t="str">
        <x:v>no</x:v>
      </x:c>
      <x:c r="U31" s="61" t="str">
        <x:v>https://www.linkedin.com/posts/stanley-from-stan_ive-helped-write-84000-linkedin-posts-activity-7464684274374529025-F-Zl</x:v>
      </x:c>
      <x:c r="V31" s="22" t="str">
        <x:v>Company page, not a personal profile.</x:v>
      </x:c>
      <x:c r="W31" s="61" t="str">
        <x:v>no</x:v>
      </x:c>
      <x:c r="X31" s="61" t="str">
        <x:v>curated_top100_workbook</x:v>
      </x:c>
      <x:c r="Y31" s="22" t="str"/>
    </x:row>
    <x:row r="32" ht="24" customHeight="1">
      <x:c r="A32" s="69" t="n">
        <x:v>31</x:v>
      </x:c>
      <x:c r="B32" s="69" t="n">
        <x:v>33</x:v>
      </x:c>
      <x:c r="C32" s="70" t="str">
        <x:v>You can cut waste by 70% &amp; boost quality by 90%.
When you know the Japanese secret of Kaizen.
It’s not a trend or a tactic.
It’s a system used by the world’s most efficient companies.
Kaizen is the practice of making small, continuous improvements.
Those daily tweaks add up to serious results.
Most CEOs chase the big wins.
Major transformations.
Strategic change initiatives.
Kaizen leaders focus on the next 1% improvement.
What’s the difference?
One burns out your team with unrealistic change.
The other builds momentum, alignment, and long-term gains.
It works because it's simple.
And it sticks because it’s sustainable.
1% improvement daily = 3,778% in one year.
Don’t think of Kaizen as just fixing broken things.
It’s really about not letting them break in the first place.
It’s preventative, proactive, and systemic.
The real magic happens when you use Kaizen
to culture where improvement becomes the default.
Where every employee feels ownership.
Where small problems surface early (before they grow legs).
The payoff gives you cleaner processes + speed + trust.
It compounds your results without compounding stress.
If you want to lead a company that adapts faster than the market changes, stop obsessing over big initiatives.
Build a business that improves itself… automatically.
Because the companies that win are the ones that never stop improving.
♻️ Repost to share with your network.
Follow Eric Partaker for more operational insights.
——
P.S. 🚀 If you want to…
Lead confidently, scale systems, and drive revenue:
Founder &amp; CEO Accelerator | Cohort 8 launches soon. 
👉 Only 5 waitlist spots left. Apply here: https://lnkd.in/e3nBUHzV
📌 Grab my free CEO Book In One Page here: https://lnkd.in/ej9xdyZf
Want a high-res PDF of my Kaizen Cheat Sheet?
Get it free: https://lnkd.in/ebuEY8xB</x:v>
      </x:c>
      <x:c r="D32" s="61" t="str">
        <x:v>c94ee27806e58b5cfc32781a30cbc510cccbf969e823e6dba0c3328ed1d5d369</x:v>
      </x:c>
      <x:c r="E32" s="61" t="str">
        <x:v>31.jpeg</x:v>
      </x:c>
      <x:c r="F32" s="61" t="str">
        <x:v>/Users/tigershetty/Documents/Codex/2026-06-30/ho/Codex-Linkedin-V3/infographic-setup/references/top 100/31.jpeg</x:v>
      </x:c>
      <x:c r="G32" s="61" t="str">
        <x:v>a3962854754a0e380da72568f2410f8b1d48316d28ecfb0153c94600ad79cfb4</x:v>
      </x:c>
      <x:c r="H32" s="64" t="b">
        <x:v>1</x:v>
      </x:c>
      <x:c r="I32" s="61"/>
      <x:c r="J32" s="61" t="str">
        <x:v>resolved</x:v>
      </x:c>
      <x:c r="K32" s="61" t="str">
        <x:v>high</x:v>
      </x:c>
      <x:c r="L32" s="61" t="str">
        <x:v>Eric Partaker</x:v>
      </x:c>
      <x:c r="M32" s="61" t="str">
        <x:v>https://www.linkedin.com/in/ericpartaker</x:v>
      </x:c>
      <x:c r="N32" s="61" t="str">
        <x:v>https://www.linkedin.com/posts/activity-7464646524967411712-lZuq</x:v>
      </x:c>
      <x:c r="O32" s="62" t="str">
        <x:v>2026-05-25</x:v>
      </x:c>
      <x:c r="P32" s="61" t="str">
        <x:v>Eric Partaker</x:v>
      </x:c>
      <x:c r="Q32" s="61" t="str"/>
      <x:c r="R32" s="61" t="str">
        <x:v>Eric Partaker</x:v>
      </x:c>
      <x:c r="S32" s="61" t="str">
        <x:v>external_transferable</x:v>
      </x:c>
      <x:c r="T32" s="61" t="str">
        <x:v>no</x:v>
      </x:c>
      <x:c r="U32" s="61" t="str">
        <x:v>https://www.linkedin.com/posts/activity-7464646524967411712-lZuq</x:v>
      </x:c>
      <x:c r="V32" s="22" t="str">
        <x:v>Later third-party reposts are not the original author.</x:v>
      </x:c>
      <x:c r="W32" s="61" t="str">
        <x:v>no</x:v>
      </x:c>
      <x:c r="X32" s="61" t="str">
        <x:v>curated_top100_workbook</x:v>
      </x:c>
      <x:c r="Y32" s="22" t="str"/>
    </x:row>
    <x:row r="33" ht="24" customHeight="1">
      <x:c r="A33" s="69" t="n">
        <x:v>32</x:v>
      </x:c>
      <x:c r="B33" s="69" t="n">
        <x:v>34</x:v>
      </x:c>
      <x:c r="C33" s="70" t="str">
        <x:v>"Our on-time delivery rate is 97%."
Sounds great. But, 97% of what?
Line items shipped? Orders fully complete? Value delivered? On time by whose clock, yours or the customer's?
The metric you choose changes the story entirely. Here are 3 supply chain KPIs I've been learning about that are easy to track wrong:
1. On-Time In-Full (OTIF)
Most teams track "on-time" OR "in-full" separately. OTIF combines both, an order is only a win if it arrives complete AND on schedule. Tracking them apart hides the real fill rate problem.
2. Inventory Turnover
A high turnover ratio looks healthy. But if you're turning inventory fast because you're constantly running lean and expediting orders, that's a cost problem disguised as a performance win.
3. Supplier Lead Time
Averages are misleading here. A supplier with an average 10-day lead time might swing between 4 and 18 days. The variance matters more than the mean, and most dashboards don't show it.
I'm still learning the nuances of all three, so I'd love to be challenged on this.
———
What KPI do you think is most misused or misunderstood in supply chain or procurement?</x:v>
      </x:c>
      <x:c r="D33" s="61" t="str">
        <x:v>97838123504a1a5fb08d15f0a6cc367a266c2370d4ffa22a6692bb194f5cbf8e</x:v>
      </x:c>
      <x:c r="E33" s="61" t="str">
        <x:v>32.jpeg</x:v>
      </x:c>
      <x:c r="F33" s="61" t="str">
        <x:v>/Users/tigershetty/Documents/Codex/2026-06-30/ho/Codex-Linkedin-V3/infographic-setup/references/top 100/32.jpeg</x:v>
      </x:c>
      <x:c r="G33" s="61" t="str">
        <x:v>c2932bda61a81ab879c6a1d37c54bbeec21c77de6c5d4150714ba0a9d41f23ad</x:v>
      </x:c>
      <x:c r="H33" s="64" t="b">
        <x:v>1</x:v>
      </x:c>
      <x:c r="I33" s="61"/>
      <x:c r="J33" s="61" t="str">
        <x:v>unresolved</x:v>
      </x:c>
      <x:c r="K33" s="61" t="str">
        <x:v>unresolved</x:v>
      </x:c>
      <x:c r="L33" s="61" t="str"/>
      <x:c r="M33" s="61" t="str"/>
      <x:c r="N33" s="61" t="str"/>
      <x:c r="O33" s="62"/>
      <x:c r="P33" s="61" t="str">
        <x:v>unresolved</x:v>
      </x:c>
      <x:c r="Q33" s="61" t="str"/>
      <x:c r="R33" s="61" t="str">
        <x:v>unresolved</x:v>
      </x:c>
      <x:c r="S33" s="61" t="str">
        <x:v>direct_scm</x:v>
      </x:c>
      <x:c r="T33" s="61" t="str">
        <x:v>unverified</x:v>
      </x:c>
      <x:c r="U33" s="61" t="str"/>
      <x:c r="V33" s="22" t="str">
        <x:v>Exact caption and local asset are present, but public evidence does not identify the original posting author or permalink without guessing.</x:v>
      </x:c>
      <x:c r="W33" s="61" t="str">
        <x:v>unverified</x:v>
      </x:c>
      <x:c r="X33" s="61" t="str">
        <x:v>curated_top100_workbook</x:v>
      </x:c>
      <x:c r="Y33" s="22" t="str"/>
    </x:row>
    <x:row r="34" ht="24" customHeight="1">
      <x:c r="A34" s="69" t="n">
        <x:v>33</x:v>
      </x:c>
      <x:c r="B34" s="69" t="n">
        <x:v>35</x:v>
      </x:c>
      <x:c r="C34" s="70" t="str">
        <x:v>NOT every S&amp;OP is equal.
This infographic shows immature vs mature S&amp;OP:
Variability
↳ Immature: assumes a stable plan and reacts when it breaks
↳ Mature: builds plans expecting variability from the start
Forecast
↳ Immature: single numbers, example: “Forecast = 100K”
↳ Mature: ranges, example: “Forecast = 90–110K, here’s how we respond”
Constraints
↳ Immature: discovers bottlenecks when service drops
↳ Mature: knows what will break before it does
Trade-offs
↳ Immature: avoids difficult choices
↳ Mature: makes trade-offs visible; service vs inventory; cost vs responsiveness
Reaction to Noise
↳ Immature: adjusts plans constantly
↳ Mature: separates signal from noise and protects plan stability
Decisions
↳ Immature: waits for more data
↳ Mature: makes informed decisions with imperfect data
Alignment Before the Meeting
↳ Immature: uses S&amp;OP to ‘figure things out’
↳ Mature: uses S&amp;OP to confirm and commit
Any others to add?
↳ Want to master S&amp;OP, pre-order a copy of my book The Supply Chain Playbook to unlock amazing bonuses today: https://lnkd.in/echFYs2z</x:v>
      </x:c>
      <x:c r="D34" s="61" t="str">
        <x:v>a91eecb9c0527b46c530eefab25fd94a0708aeb5de60de6972169ca830b3cdd1</x:v>
      </x:c>
      <x:c r="E34" s="61" t="str">
        <x:v>33.jpeg</x:v>
      </x:c>
      <x:c r="F34" s="61" t="str">
        <x:v>/Users/tigershetty/Documents/Codex/2026-06-30/ho/Codex-Linkedin-V3/infographic-setup/references/top 100/33.jpeg</x:v>
      </x:c>
      <x:c r="G34" s="61" t="str">
        <x:v>aef1ec530ebbf934a3e416f33e878ebca95bed3a1ce617ad79197e1d466aba4e</x:v>
      </x:c>
      <x:c r="H34" s="64" t="b">
        <x:v>1</x:v>
      </x:c>
      <x:c r="I34" s="61"/>
      <x:c r="J34" s="61" t="str">
        <x:v>resolved</x:v>
      </x:c>
      <x:c r="K34" s="61" t="str">
        <x:v>high</x:v>
      </x:c>
      <x:c r="L34" s="61" t="str">
        <x:v>Marcia D Williams</x:v>
      </x:c>
      <x:c r="M34" s="61" t="str">
        <x:v>https://www.linkedin.com/in/marciadwilliams</x:v>
      </x:c>
      <x:c r="N34" s="61" t="str">
        <x:v>https://www.linkedin.com/posts/marciadwilliams_not-every-sop-is-equal-this-infographic-activity-7463202442491650048--i8y</x:v>
      </x:c>
      <x:c r="O34" s="62" t="str">
        <x:v>2026-05-21</x:v>
      </x:c>
      <x:c r="P34" s="61" t="str">
        <x:v>Marcia D Williams</x:v>
      </x:c>
      <x:c r="Q34" s="61" t="str"/>
      <x:c r="R34" s="61" t="str">
        <x:v>Marcia D Williams</x:v>
      </x:c>
      <x:c r="S34" s="61" t="str">
        <x:v>direct_scm</x:v>
      </x:c>
      <x:c r="T34" s="61" t="str">
        <x:v>no</x:v>
      </x:c>
      <x:c r="U34" s="61" t="str">
        <x:v>https://www.linkedin.com/posts/marciadwilliams_not-every-sop-is-equal-this-infographic-activity-7463202442491650048--i8y</x:v>
      </x:c>
      <x:c r="V34" s="22" t="str">
        <x:v>Public activity page opens the direct original with an exact caption and author match.</x:v>
      </x:c>
      <x:c r="W34" s="61" t="str">
        <x:v>no</x:v>
      </x:c>
      <x:c r="X34" s="61" t="str">
        <x:v>curated_top100_workbook</x:v>
      </x:c>
      <x:c r="Y34" s="22" t="str"/>
    </x:row>
    <x:row r="35" ht="24" customHeight="1">
      <x:c r="A35" s="69" t="n">
        <x:v>34</x:v>
      </x:c>
      <x:c r="B35" s="69" t="n">
        <x:v>36</x:v>
      </x:c>
      <x:c r="C35" s="70" t="str">
        <x:v>𝗬𝗼𝘂𝗿 𝗔𝗜 𝗽𝗶𝗹𝗼𝘁 𝘄𝗶𝗹𝗹 𝗳𝗮𝗶𝗹.
𝗡𝗼𝘁 𝗯𝗲𝗰𝗮𝘂𝘀𝗲 𝗼𝗳 𝘁𝗵𝗲 𝘁𝗲𝗰𝗵. 𝗕𝗲𝗰𝗮𝘂𝘀𝗲 𝘆𝗼𝘂 𝘀𝗸𝗶𝗽𝗽𝗲𝗱 𝘁𝗵𝗲 𝗠𝗩𝗣.
Most procurement teams go straight to "AI for everything."
Then wonder why the CPO pulled the plug.
Here's what actually works:
→ Pick ONE painful workflow (not five) 
→ Prove the pain is real before building anything 
→ Interview 8 to 12 buyers and stakeholders 
→ Scope it so tight it delivers value in 4 to 8 weeks 
→ Track adoption, time saved, and savings from day one 
→ Scale only when the CPO trusts the results
Bad MVP: an all-in-one procurement copilot. Good MVP: AI that flags risky contract clauses before review.
The difference? One sounds impressive in a slide deck. The other actually gets approved.
Build narrow. Validate fast. Scale responsibly.
I mapped the full 6-step framework in the visual below.
𝐉𝐨𝐢𝐧 our free newsletter for weekly AI tips in procurement and supply chain → https://lnkd.in/eiyuDvEU
Follow Asmaa Gad + Supply Chain AI Pro for daily AI tips in supply chain</x:v>
      </x:c>
      <x:c r="D35" s="61" t="str">
        <x:v>10b4fab4651bafc16b6de0f6435a8cc96317b6d0af074cf9ed7cc07b69db2551</x:v>
      </x:c>
      <x:c r="E35" s="61" t="str">
        <x:v>34.jpeg</x:v>
      </x:c>
      <x:c r="F35" s="61" t="str">
        <x:v>/Users/tigershetty/Documents/Codex/2026-06-30/ho/Codex-Linkedin-V3/infographic-setup/references/top 100/34.jpeg</x:v>
      </x:c>
      <x:c r="G35" s="61" t="str">
        <x:v>d4ea940d5047d743ec6c6934df63129e95ab576279cb4bd1e1c6233ddb0ad6bb</x:v>
      </x:c>
      <x:c r="H35" s="64" t="b">
        <x:v>1</x:v>
      </x:c>
      <x:c r="I35" s="61"/>
      <x:c r="J35" s="61" t="str">
        <x:v>resolved</x:v>
      </x:c>
      <x:c r="K35" s="61" t="str">
        <x:v>high</x:v>
      </x:c>
      <x:c r="L35" s="61" t="str">
        <x:v>Asmaa Gad</x:v>
      </x:c>
      <x:c r="M35" s="61" t="str">
        <x:v>https://www.linkedin.com/in/supplychainaipro</x:v>
      </x:c>
      <x:c r="N35" s="61" t="str">
        <x:v>https://www.linkedin.com/feed/update/urn:li:activity:7462756369956229120/</x:v>
      </x:c>
      <x:c r="O35" s="62" t="str">
        <x:v>2026-05-20</x:v>
      </x:c>
      <x:c r="P35" s="61" t="str">
        <x:v>Asmaa Gad</x:v>
      </x:c>
      <x:c r="Q35" s="61" t="str"/>
      <x:c r="R35" s="61" t="str">
        <x:v>Supply Chain AI Pro</x:v>
      </x:c>
      <x:c r="S35" s="61" t="str">
        <x:v>direct_scm</x:v>
      </x:c>
      <x:c r="T35" s="61" t="str">
        <x:v>yes</x:v>
      </x:c>
      <x:c r="U35" s="61" t="str">
        <x:v>https://www.linkedin.com/feed/update/urn:li:activity:7462756369956229120/</x:v>
      </x:c>
      <x:c r="V35" s="22" t="str">
        <x:v>Exact activity ID and caption match.</x:v>
      </x:c>
      <x:c r="W35" s="61" t="str">
        <x:v>no</x:v>
      </x:c>
      <x:c r="X35" s="61" t="str">
        <x:v>curated_top100_workbook</x:v>
      </x:c>
      <x:c r="Y35" s="22" t="str"/>
    </x:row>
    <x:row r="36" ht="24" customHeight="1">
      <x:c r="A36" s="69" t="n">
        <x:v>35</x:v>
      </x:c>
      <x:c r="B36" s="69" t="n">
        <x:v>37</x:v>
      </x:c>
      <x:c r="C36" s="70" t="str">
        <x:v>A procurement manager is NOT what most people think.
This infographic shows what everyone thinks and what a procurement manager actually is:
What everyone thinks:
↳ People who buy stuff
↳ People who push for discounts
↳ People who slow things down
What a procurement manager is:
• Value Translator
↳ Turning vague business needs, strategy, and constraints into commercial models the market can actually respond to
• Risk Interpreter
↳ Making hidden contractual, financial, supply, and regulatory risks visible before they land on the balance sheet
• Commercial Architect
↳ Designing sourcing strategies, deal structures, incentives, and guardrails that drive the right behaviours
• Stakeholder Orchestrator
↳ Aligning finance, legal, operations, IT, and leadership around one decision everyone stands behind
• Negotiation Strategist
↳ Preparing scenarios, walk-aways, trade-offs, and levers long before anyone sits at the table
• Assumption Challenger
↳ Questioning specs, volumes, timelines, and “we’ve always done it this way” thinking
• Value Protector
↳ Preventing leakage, scope creep, poor contracts, and bad decisions that quietly destroy value over time
Any others to add?
Sign up FREE to get 1% smarter at procurement every week. 
24,000 procurement pros are already her https://procurebites.com/</x:v>
      </x:c>
      <x:c r="D36" s="61" t="str">
        <x:v>da79c049200eb966e628228fa339b03bace097a353c5c7a0f530c5d3b1f6609d</x:v>
      </x:c>
      <x:c r="E36" s="61" t="str">
        <x:v>35.jpeg</x:v>
      </x:c>
      <x:c r="F36" s="61" t="str">
        <x:v>/Users/tigershetty/Documents/Codex/2026-06-30/ho/Codex-Linkedin-V3/infographic-setup/references/top 100/35.jpeg</x:v>
      </x:c>
      <x:c r="G36" s="61" t="str">
        <x:v>854140f4087bfba7ef88e8a3d696cec2e110c8a4d7f1e5e3bb7dc7b5b9c0035d</x:v>
      </x:c>
      <x:c r="H36" s="64" t="b">
        <x:v>1</x:v>
      </x:c>
      <x:c r="I36" s="61"/>
      <x:c r="J36" s="61" t="str">
        <x:v>resolved</x:v>
      </x:c>
      <x:c r="K36" s="61" t="str">
        <x:v>high</x:v>
      </x:c>
      <x:c r="L36" s="61" t="str">
        <x:v>Tom Mills</x:v>
      </x:c>
      <x:c r="M36" s="61" t="str">
        <x:v>https://www.linkedin.com/in/tom-mills-procurement</x:v>
      </x:c>
      <x:c r="N36" s="61" t="str">
        <x:v>https://www.linkedin.com/posts/tom-mills-procurement_a-procurement-manager-is-not-what-most-people-activity-7425121098503176192-8_Cs</x:v>
      </x:c>
      <x:c r="O36" s="62"/>
      <x:c r="P36" s="61" t="str">
        <x:v>Tom Mills</x:v>
      </x:c>
      <x:c r="Q36" s="61" t="str"/>
      <x:c r="R36" s="61" t="str">
        <x:v>Procure Bites / Tom Mills</x:v>
      </x:c>
      <x:c r="S36" s="61" t="str">
        <x:v>direct_scm</x:v>
      </x:c>
      <x:c r="T36" s="61" t="str">
        <x:v>yes</x:v>
      </x:c>
      <x:c r="U36" s="61" t="str">
        <x:v>https://www.linkedin.com/posts/tom-mills-procurement_a-procurement-manager-is-not-what-most-people-activity-7425121098503176192-8_Cs</x:v>
      </x:c>
      <x:c r="V36" s="22" t="str">
        <x:v>Exact caption and visual match.</x:v>
      </x:c>
      <x:c r="W36" s="61" t="str">
        <x:v>no</x:v>
      </x:c>
      <x:c r="X36" s="61" t="str">
        <x:v>curated_top100_workbook</x:v>
      </x:c>
      <x:c r="Y36" s="22" t="str"/>
    </x:row>
    <x:row r="37" ht="24" customHeight="1">
      <x:c r="A37" s="69" t="n">
        <x:v>36</x:v>
      </x:c>
      <x:c r="B37" s="69" t="n">
        <x:v>38</x:v>
      </x:c>
      <x:c r="C37" s="70" t="str">
        <x:v>LinkedIn replaced its algorithm with a single AI system.
And it works differently from what you are used to.
Every post now goes through four stages before it reaches anyone.
Quality check, testing, distribution, and matching.
1. The first stage filters out spam and engagement bait instantly.
2. The second stage shows your post to a small group and watches what happens. If people engage, distribution expands and if they scroll past, it stops.
3. Who sees it after that depends on how often they interact with you and how closely your topic matches their activity.
4. The algorithm then matches your post to users based on topic, language, and mentioned companies.
A few numbers worth knowing:
Comments now carry 15x more weight than likes.
One save drives 5x more reach than a like and 2x more than a comment.
Posts with 60+ seconds of dwell time hit 15.6% engagement.
Posts with under 3 seconds hit 1.2%.
Once you see how it works, you post differently.</x:v>
      </x:c>
      <x:c r="D37" s="61" t="str">
        <x:v>6c39bae20b20d09912d91372ffae6d04d39a51a7f763d1fb9dbb4e847d94519d</x:v>
      </x:c>
      <x:c r="E37" s="61" t="str">
        <x:v>36.jpeg</x:v>
      </x:c>
      <x:c r="F37" s="61" t="str">
        <x:v>/Users/tigershetty/Documents/Codex/2026-06-30/ho/Codex-Linkedin-V3/infographic-setup/references/top 100/36.jpeg</x:v>
      </x:c>
      <x:c r="G37" s="61" t="str">
        <x:v>a833c4fdbf28120d2eec495532eb8067c024c7df426032f9ea55cb6a22f3b245</x:v>
      </x:c>
      <x:c r="H37" s="64" t="b">
        <x:v>1</x:v>
      </x:c>
      <x:c r="I37" s="61"/>
      <x:c r="J37" s="61" t="str">
        <x:v>resolved</x:v>
      </x:c>
      <x:c r="K37" s="61" t="str">
        <x:v>high</x:v>
      </x:c>
      <x:c r="L37" s="61" t="str">
        <x:v>Yonathan Levy</x:v>
      </x:c>
      <x:c r="M37" s="61" t="str">
        <x:v>https://www.linkedin.com/in/yonathan-levy</x:v>
      </x:c>
      <x:c r="N37" s="61" t="str">
        <x:v>https://www.linkedin.com/posts/yonathan-levy_linkedin-replaced-its-algorithm-with-a-single-activity-7462819434639056896-NSmK</x:v>
      </x:c>
      <x:c r="O37" s="62"/>
      <x:c r="P37" s="61" t="str">
        <x:v>Yonathan Levy</x:v>
      </x:c>
      <x:c r="Q37" s="61" t="str"/>
      <x:c r="R37" s="61" t="str">
        <x:v>Yonathan Levy</x:v>
      </x:c>
      <x:c r="S37" s="61" t="str">
        <x:v>external_transferable</x:v>
      </x:c>
      <x:c r="T37" s="61" t="str">
        <x:v>no</x:v>
      </x:c>
      <x:c r="U37" s="61" t="str">
        <x:v>https://www.linkedin.com/posts/yonathan-levy_linkedin-replaced-its-algorithm-with-a-single-activity-7462819434639056896-NSmK</x:v>
      </x:c>
      <x:c r="V37" s="22" t="str">
        <x:v>Exact caption and visual match.</x:v>
      </x:c>
      <x:c r="W37" s="61" t="str">
        <x:v>no</x:v>
      </x:c>
      <x:c r="X37" s="61" t="str">
        <x:v>curated_top100_workbook</x:v>
      </x:c>
      <x:c r="Y37" s="22" t="str"/>
    </x:row>
    <x:row r="38" ht="24" customHeight="1">
      <x:c r="A38" s="69" t="n">
        <x:v>37</x:v>
      </x:c>
      <x:c r="B38" s="69" t="n">
        <x:v>39</x:v>
      </x:c>
      <x:c r="C38" s="70" t="str">
        <x:v>2 years ago: my posts died at line 3.
Today: nearly 70K followers on LinkedIn.
The shift wasn't my topics. It wasn't my frequency. It wasn't even my design.
It was how I write hooks.
I learned the hard way that 80% of LinkedIn never reads past line 3. You can write the best post of your life - but if line 1 doesn't stop the scroll, no one will ever know.
So I stopped winging openers. I started rotating 10 hook formulas:
→ The Bold Number
→ The Contrarian
→ The Story
→ The Question
→ The Data
→ The Confession
→ The Timeline
→ The "I Quit"
→ The Problem/Solution
→ The Secret
Every post now starts with one. I mix emotional + data + contrarian, so my feed never feels formulaic.
The result? Posts that used to get 100 impressions now get 100K.
Hooks didn't just grow my account. They taught me about storytelling. And they taught me that line 1 isn't just a sentence - it's a decision your reader makes about whether you're worth their time.
Which formula matches your style?</x:v>
      </x:c>
      <x:c r="D38" s="61" t="str">
        <x:v>d18cb75e7a3bb9e2307cf21675e3b4eb994516c5a9bed2d8a9762b621e8eb5dd</x:v>
      </x:c>
      <x:c r="E38" s="61" t="str">
        <x:v>37.jpeg</x:v>
      </x:c>
      <x:c r="F38" s="61" t="str">
        <x:v>/Users/tigershetty/Documents/Codex/2026-06-30/ho/Codex-Linkedin-V3/infographic-setup/references/top 100/37.jpeg</x:v>
      </x:c>
      <x:c r="G38" s="61" t="str">
        <x:v>f60a4b183970161a2b6ef39ef75546ebc6d939d37dbdda9e03b2b5d0ba90166a</x:v>
      </x:c>
      <x:c r="H38" s="64" t="b">
        <x:v>1</x:v>
      </x:c>
      <x:c r="I38" s="61"/>
      <x:c r="J38" s="61" t="str">
        <x:v>unresolved</x:v>
      </x:c>
      <x:c r="K38" s="61" t="str">
        <x:v>unresolved</x:v>
      </x:c>
      <x:c r="L38" s="61" t="str"/>
      <x:c r="M38" s="61" t="str"/>
      <x:c r="N38" s="61" t="str"/>
      <x:c r="O38" s="62"/>
      <x:c r="P38" s="61" t="str">
        <x:v>unresolved</x:v>
      </x:c>
      <x:c r="Q38" s="61" t="str"/>
      <x:c r="R38" s="61" t="str">
        <x:v>Stanley</x:v>
      </x:c>
      <x:c r="S38" s="61" t="str">
        <x:v>external_transferable</x:v>
      </x:c>
      <x:c r="T38" s="61" t="str">
        <x:v>unverified</x:v>
      </x:c>
      <x:c r="U38" s="61" t="str"/>
      <x:c r="V38" s="22" t="str">
        <x:v>The local visual is Stanley-branded, but public evidence does not establish whether the poster was the Stanley company page, MJ Jaindl, or another creator.</x:v>
      </x:c>
      <x:c r="W38" s="61" t="str">
        <x:v>unverified</x:v>
      </x:c>
      <x:c r="X38" s="61" t="str">
        <x:v>curated_top100_workbook</x:v>
      </x:c>
      <x:c r="Y38" s="22" t="str"/>
    </x:row>
    <x:row r="39" ht="24" customHeight="1">
      <x:c r="A39" s="69" t="n">
        <x:v>38</x:v>
      </x:c>
      <x:c r="B39" s="69" t="n">
        <x:v>40</x:v>
      </x:c>
      <x:c r="C39" s="70" t="str">
        <x:v>𝐇𝐨𝐭 𝐭𝐚𝐤𝐞: 𝐌𝐨𝐬𝐭 𝐩𝐫𝐨𝐜𝐮𝐫𝐞𝐦𝐞𝐧𝐭 𝐭𝐞𝐚𝐦𝐬 𝐚𝐫𝐞 𝐮𝐬𝐢𝐧𝐠 𝐀𝐈 𝐰𝐫𝐨𝐧𝐠, 𝐚𝐧𝐝 𝐭𝐡𝐞 𝐝𝐚𝐭𝐚 𝐩𝐫𝐨𝐯𝐞𝐬 𝐢𝐭.
Teams are asking one-off questions and getting generic answers.
That's not a copilot. 𝐓𝐡𝐚𝐭'𝐬 𝐣𝐮𝐬𝐭 𝐚 𝐟𝐚𝐧𝐜𝐲 𝐆𝐨𝐨𝐠𝐥𝐞.
𝐀 𝐫𝐞𝐚𝐥 𝐏𝐫𝐨𝐜𝐮𝐫𝐞𝐦𝐞𝐧𝐭 𝐀𝐈 𝐂𝐨𝐩𝐢𝐥𝐨𝐭 𝐰𝐨𝐫𝐤𝐬 𝐝𝐢𝐟𝐟𝐞𝐫𝐞𝐧𝐭𝐥𝐲. Here's the breakdown:
CAPABILITY → REAL BUSINESS IMPACT
✅ 𝐃𝐨𝐜𝐮𝐦𝐞𝐧𝐭 𝐈𝐧𝐭𝐞𝐥𝐥𝐢𝐠𝐞𝐧𝐜𝐞 → Zero manual data entry from POs, contracts &amp; invoices
✅ 𝐀𝐮𝐭𝐨-𝐟𝐢𝐧𝐝 𝐄𝐯𝐞𝐫𝐲𝐭𝐡𝐢𝐧𝐠 → Searches ERP, emails &amp; drives so you stop wasting hours
✅ 𝐌𝐞𝐦𝐨𝐫𝐲 𝐋𝐚𝐲𝐞𝐫 → Remembers suppliers, pricing &amp; past decisions... no repeat questions
✅ 𝐄𝐧𝐟𝐨𝐫𝐜𝐞𝐝 𝐂𝐨𝐦𝐩𝐥𝐢𝐚𝐧𝐜𝐞 → 100% policy adherence, approval flows respected, every time
✅ 𝐃𝐞𝐜𝐢𝐬𝐢𝐨𝐧-𝐑𝐞𝐚𝐝𝐲 𝐎𝐮𝐭𝐩𝐮𝐭 → Recommendations with expected savings, risks &amp; next steps
𝐀𝐧𝐝 𝐡𝐞𝐫𝐞'𝐬 𝐰𝐡𝐚𝐭 𝐢𝐭 𝐰𝐢𝐥𝐥 𝐍𝐄𝐕𝐄𝐑 𝐝𝐨:
→ Share confidential supplier data
→ Skip approvals
→ Make decisions without data
Built with 𝐂𝐥𝐚𝐮𝐝𝐞. Guided by your 𝐩𝐨𝐥𝐢𝐜𝐢𝐞𝐬. Always 𝐝𝐞𝐜𝐢𝐬𝐢𝐨𝐧-𝐫𝐞𝐚𝐝𝐲.
The gap between procurement teams using AI strategically and those that don't is 𝐠𝐫𝐨𝐰𝐢𝐧𝐠 𝐅𝐀𝐒𝐓.
The question isn't whether AI will transform procurement.
It's whether 𝐘𝐎𝐔 𝐰𝐢𝐥𝐥 𝐥𝐞𝐚𝐝 𝐭𝐡𝐚𝐭 𝐭𝐫𝐚𝐧𝐬𝐟𝐨𝐫𝐦𝐚𝐭𝐢𝐨𝐧 ... or watch it happen.
𝐉𝐨𝐢𝐧 our free newsletter for weekly AI tips in procurement and supply chain → https://lnkd.in/eiyuDvEU
🔖 𝐒𝐚𝐯𝐞 𝐭𝐡𝐢𝐬 𝐩𝐨𝐬𝐭, the full setup template is right there in the image above.
♻️ 𝐑𝐞𝐩𝐨𝐬𝐭 so your network stops leaving procurement efficiency on the table.
🔔 𝐅𝐨𝐥𝐥𝐨𝐰 Asmaa Gad &amp; Supply Chain AI Pro for more AI insights!</x:v>
      </x:c>
      <x:c r="D39" s="61" t="str">
        <x:v>cb590c4bdb8a9cdd7a1a3820c96d100c5148fbc37bebc6cea3e7c72c2ea4a44c</x:v>
      </x:c>
      <x:c r="E39" s="61" t="str">
        <x:v>38.jpeg</x:v>
      </x:c>
      <x:c r="F39" s="61" t="str">
        <x:v>/Users/tigershetty/Documents/Codex/2026-06-30/ho/Codex-Linkedin-V3/infographic-setup/references/top 100/38.jpeg</x:v>
      </x:c>
      <x:c r="G39" s="61" t="str">
        <x:v>cb356ca10b58cf6b34740f83869cd52831a131a67173b487a6383a704ae4be7c</x:v>
      </x:c>
      <x:c r="H39" s="64" t="b">
        <x:v>1</x:v>
      </x:c>
      <x:c r="I39" s="61"/>
      <x:c r="J39" s="61" t="str">
        <x:v>resolved</x:v>
      </x:c>
      <x:c r="K39" s="61" t="str">
        <x:v>high</x:v>
      </x:c>
      <x:c r="L39" s="61" t="str">
        <x:v>Asmaa Gad</x:v>
      </x:c>
      <x:c r="M39" s="61" t="str">
        <x:v>https://www.linkedin.com/in/supplychainaipro</x:v>
      </x:c>
      <x:c r="N39" s="61" t="str">
        <x:v>https://www.linkedin.com/posts/supplychainaipro_%F0%9D%90%87%F0%9D%90%A8%F0%9D%90%AD-%F0%9D%90%AD%F0%9D%90%9A%F0%9D%90%A4%F0%9D%90%9E-%F0%9D%90%8C%F0%9D%90%A8%F0%9D%90%AC%F0%9D%90%AD-%F0%9D%90%A9%F0%9D%90%AB%F0%9D%90%A8%F0%9D%90%9C%F0%9D%90%AE%F0%9D%90%AB%F0%9D%90%9E%F0%9D%90%A6%F0%9D%90%9E%F0%9D%90%A7%F0%9D%90%AD-activity-7462400649981476864-oy_K</x:v>
      </x:c>
      <x:c r="O39" s="62"/>
      <x:c r="P39" s="61" t="str">
        <x:v>Asmaa Gad</x:v>
      </x:c>
      <x:c r="Q39" s="61" t="str"/>
      <x:c r="R39" s="61" t="str">
        <x:v>Supply Chain AI Pro</x:v>
      </x:c>
      <x:c r="S39" s="61" t="str">
        <x:v>direct_scm</x:v>
      </x:c>
      <x:c r="T39" s="61" t="str">
        <x:v>yes</x:v>
      </x:c>
      <x:c r="U39" s="61" t="str">
        <x:v>https://www.linkedin.com/posts/supplychainaipro_%F0%9D%90%87%F0%9D%90%A8%F0%9D%90%AD-%F0%9D%90%AD%F0%9D%90%9A%F0%9D%90%A4%F0%9D%90%9E-%F0%9D%90%8C%F0%9D%90%A8%F0%9D%90%AC%F0%9D%90%AD-%F0%9D%90%A9%F0%9D%90%AB%F0%9D%90%A8%F0%9D%90%9C%F0%9D%90%AE%F0%9D%90%AB%F0%9D%90%9E%F0%9D%90%A6%F0%9D%90%9E%F0%9D%90%A7%F0%9D%90%AD-activity-7462400649981476864-oy_K</x:v>
      </x:c>
      <x:c r="V39" s="22" t="str">
        <x:v>Exact caption and visual match.</x:v>
      </x:c>
      <x:c r="W39" s="61" t="str">
        <x:v>no</x:v>
      </x:c>
      <x:c r="X39" s="61" t="str">
        <x:v>curated_top100_workbook</x:v>
      </x:c>
      <x:c r="Y39" s="22" t="str"/>
    </x:row>
    <x:row r="40" ht="24" customHeight="1">
      <x:c r="A40" s="69" t="n">
        <x:v>39</x:v>
      </x:c>
      <x:c r="B40" s="69" t="n">
        <x:v>41</x:v>
      </x:c>
      <x:c r="C40" s="70" t="str">
        <x:v>S&amp;OP Explained: Aligning Demand, Supply, and Business Goals!
Many companies struggle not because they lack demand.
 They struggle because sales, operations, finance, and supply chain are not aligned.
This is where S&amp;OP becomes powerful.
S&amp;OP stands for Sales and Operations Planning.
It is a structured business planning process that connects:
✔ Demand planning
 ✔ Supply planning
 ✔ Inventory planning
 ✔ Production capacity
 ✔ Financial targets
 ✔ Customer service goals
The main purpose of S&amp;OP is simple:
Create one agreed business plan across all departments.
Without S&amp;OP, companies often face:
• Forecast errors
 • Excess inventory
 • Stock shortages
 • Production delays
 • Poor communication
 • Conflicting department priorities
A strong S&amp;OP process usually includes:
Demand review
Supply review
Gap analysis
Financial alignment
Executive decision-making
Continuous performance tracking
Example:
Sales may forecast higher demand for a product.
But supply chain must check:
• Do we have enough inventory?
 • Can suppliers support the volume?
 • Is production capacity available?
 • What is the financial impact?
S&amp;OP helps companies move from reactive firefighting to proactive planning.
In supply chain, alignment is just as important as accuracy.
What do you think is the biggest challenge in S&amp;OP — forecasting, communication, or execution?</x:v>
      </x:c>
      <x:c r="D40" s="61" t="str">
        <x:v>edc0059098f41825b43f640bc7057068114d175f3a8f8ffd85be1e2cf0667b84</x:v>
      </x:c>
      <x:c r="E40" s="61" t="str">
        <x:v>39.jpeg</x:v>
      </x:c>
      <x:c r="F40" s="61" t="str">
        <x:v>/Users/tigershetty/Documents/Codex/2026-06-30/ho/Codex-Linkedin-V3/infographic-setup/references/top 100/39.jpeg</x:v>
      </x:c>
      <x:c r="G40" s="61" t="str">
        <x:v>3e589fe45ed13f39759f9d04448d6355b18e12b5037fb72af353ab7c74229652</x:v>
      </x:c>
      <x:c r="H40" s="64" t="b">
        <x:v>1</x:v>
      </x:c>
      <x:c r="I40" s="61"/>
      <x:c r="J40" s="61" t="str">
        <x:v>resolved</x:v>
      </x:c>
      <x:c r="K40" s="61" t="str">
        <x:v>high</x:v>
      </x:c>
      <x:c r="L40" s="61" t="str">
        <x:v>Hashim H.</x:v>
      </x:c>
      <x:c r="M40" s="61" t="str">
        <x:v>https://www.linkedin.com/in/hashimhamdanek</x:v>
      </x:c>
      <x:c r="N40" s="61" t="str">
        <x:v>https://www.linkedin.com/posts/hashimhamdanek_sop-salesandoperationsplanning-demandplanning-activity-7461899653442060288-jPql</x:v>
      </x:c>
      <x:c r="O40" s="62"/>
      <x:c r="P40" s="61" t="str">
        <x:v>Hashim H.</x:v>
      </x:c>
      <x:c r="Q40" s="61" t="str"/>
      <x:c r="R40" s="61" t="str">
        <x:v>Hashim H.</x:v>
      </x:c>
      <x:c r="S40" s="61" t="str">
        <x:v>direct_scm</x:v>
      </x:c>
      <x:c r="T40" s="61" t="str">
        <x:v>no</x:v>
      </x:c>
      <x:c r="U40" s="61" t="str">
        <x:v>https://www.linkedin.com/posts/hashimhamdanek_sop-salesandoperationsplanning-demandplanning-activity-7461899653442060288-jPql</x:v>
      </x:c>
      <x:c r="V40" s="22" t="str">
        <x:v>Exact caption and matching visual footer.</x:v>
      </x:c>
      <x:c r="W40" s="61" t="str">
        <x:v>no</x:v>
      </x:c>
      <x:c r="X40" s="61" t="str">
        <x:v>curated_top100_workbook</x:v>
      </x:c>
      <x:c r="Y40" s="22" t="str"/>
    </x:row>
    <x:row r="41" ht="24" customHeight="1">
      <x:c r="A41" s="69" t="n">
        <x:v>40</x:v>
      </x:c>
      <x:c r="B41" s="69" t="n">
        <x:v>42</x:v>
      </x:c>
      <x:c r="C41" s="70" t="str">
        <x:v>Linkedin content creation tools are getting SCARY good at helping you write content (and I truly think some of them are really impressive!)
And once you have great content going out consistently, the next question becomes: WHY do some posts drive more pipeline than others?
- Which posts actually influenced leads
- Which topics consistently drive demo calls
- Which content brought in pipeline vs just impressions
*this is the layer that turns content into a feedback loop (see image below)
Because the writing part is solved (or at least way easier than it used to be), but the post-publish side is still mostly guesswork...you write, you post, you see likes and comments, and then you assume what worked based on engagement alone
And engagement is not the same as business impact
So the flow I think (and I've been dogfooding Socialeads.io for 5 months now) works better, looks like something like this:
1/ Use your favorite Linkedin writing or ideation tool to create content
2/ Connect Socialeads to see what happens after the post goes live
3/ Feed that data back into your content decisions (so you're optimizing for pipeline growth instead of just reactions)
This turns Linkedin content into something closer to a campaign with measurable downstream performance (same as what Fibbler does for ads, now you can see the same conversion metrics for any organic post!)
Because now you're not just posting and hoping...you're posting, tracking, and improving based on what actually moves the people to go and sign up for your... whatever you are offering :)
The whole point is to understand not just that the content worked, but WHY it worked...so you know which hooks, ideas and formats those tools generate actually drive business results (beyond the great engagement they're already getting you!)
- Which topics consistently influence pipeline?
- Which formats drive more signups, demo calls, or trials?
- Which hooks bring in leads vs just likes?
If you want to see how this works with your own posts, Socialeads offers 14 days free trial...and you get to see what worked in your last 90 days of content (leads influenced, deals touched, revenue connected)
Worth checking if you're already using those tools to write but want to know WHY some posts convert better than others (link is below)👇
*In this flow I used one of my posts from last week to show how many leads (and one closed client! 🎉 ) it actually brought me...beyond just the good reach and engagement numbers :)
P.S. Shoutout to the awesome people growing these so-much-needed Linkedin writing tools:
Ivana Todorovic from AuthoredUp
Ruben Hassid from EasyGen
Naïlé Titah from MagicPost
Alexandra Covucci from Stanley 
(I literally DM’d Alexandra today, saying I was disappointed with the tool.
Then I kept testing it... aaand turns out I was too quick to judge. Now I think I was wrong tool is impressive. Sorry Alexandra 😅)
*feel free to tag more tools like these (I'm checking each!) :)</x:v>
      </x:c>
      <x:c r="D41" s="61" t="str">
        <x:v>0343bff099d31d8fb1660ab8c3ece321b99ad86e5ff6e220c32cb994e0ae808d</x:v>
      </x:c>
      <x:c r="E41" s="61" t="str">
        <x:v>40.jpeg</x:v>
      </x:c>
      <x:c r="F41" s="61" t="str">
        <x:v>/Users/tigershetty/Documents/Codex/2026-06-30/ho/Codex-Linkedin-V3/infographic-setup/references/top 100/40.jpeg</x:v>
      </x:c>
      <x:c r="G41" s="61" t="str">
        <x:v>2ee5a95ba8fa63ed98d94e9af3a2c2b4e6dcb9195cdcdd87dd4333275054a66c</x:v>
      </x:c>
      <x:c r="H41" s="64" t="b">
        <x:v>1</x:v>
      </x:c>
      <x:c r="I41" s="61"/>
      <x:c r="J41" s="61" t="str">
        <x:v>resolved</x:v>
      </x:c>
      <x:c r="K41" s="61" t="str">
        <x:v>high</x:v>
      </x:c>
      <x:c r="L41" s="61" t="str">
        <x:v>Aleksandar Radosevic</x:v>
      </x:c>
      <x:c r="M41" s="61" t="str">
        <x:v>https://www.linkedin.com/in/aleksandar-radosevic-b2b-saas-copywriting</x:v>
      </x:c>
      <x:c r="N41" s="61" t="str">
        <x:v>https://www.linkedin.com/posts/aleksandar-radosevic-b2b-saas-copywriting_linkedin-content-creation-tools-are-getting-activity-7462504793379545088-JnMT</x:v>
      </x:c>
      <x:c r="O41" s="62"/>
      <x:c r="P41" s="61" t="str">
        <x:v>Aleksandar Radosevic</x:v>
      </x:c>
      <x:c r="Q41" s="61" t="str"/>
      <x:c r="R41" s="61" t="str">
        <x:v>Socialeads.io</x:v>
      </x:c>
      <x:c r="S41" s="61" t="str">
        <x:v>external_transferable</x:v>
      </x:c>
      <x:c r="T41" s="61" t="str">
        <x:v>no</x:v>
      </x:c>
      <x:c r="U41" s="61" t="str">
        <x:v>https://www.linkedin.com/posts/aleksandar-radosevic-b2b-saas-copywriting_linkedin-content-creation-tools-are-getting-activity-7462504793379545088-JnMT</x:v>
      </x:c>
      <x:c r="V41" s="22" t="str">
        <x:v>Other creators are tool/product shout-outs, not the posting author.</x:v>
      </x:c>
      <x:c r="W41" s="61" t="str">
        <x:v>no</x:v>
      </x:c>
      <x:c r="X41" s="61" t="str">
        <x:v>curated_top100_workbook</x:v>
      </x:c>
      <x:c r="Y41" s="22" t="str"/>
    </x:row>
    <x:row r="42" ht="24" customHeight="1">
      <x:c r="A42" s="69" t="n">
        <x:v>41</x:v>
      </x:c>
      <x:c r="B42" s="69" t="n">
        <x:v>43</x:v>
      </x:c>
      <x:c r="C42" s="70" t="str">
        <x:v>Never run out of content ideas again.
Here's how I use Reddit to find them:
Step 1 → Type any topic into a Google Sheet.
Step 2 → Find popular Reddit threads on that topic.
Step 3 → Add the most engaging ones to your sheet.
What you get:
☑ Ideas validated by real conversations and real upvotes.
☑ Hooks that already captured attention.
☑ Topics your audience genuinely cares about.
Most people stare at a blank page and guess what to post.
This gives you a list of ideas that already worked.
Comment "REDDIT" to get the template.</x:v>
      </x:c>
      <x:c r="D42" s="61" t="str">
        <x:v>01bf958c945053781501f2e0fbac544205eb3494bc0edb1da5fe61aa6026ddfe</x:v>
      </x:c>
      <x:c r="E42" s="61" t="str">
        <x:v>41.gif</x:v>
      </x:c>
      <x:c r="F42" s="61" t="str">
        <x:v>/Users/tigershetty/Documents/Codex/2026-06-30/ho/Codex-Linkedin-V3/infographic-setup/references/top 100/41.gif</x:v>
      </x:c>
      <x:c r="G42" s="61" t="str">
        <x:v>1d155f24d681438134ceff260a715a140f54e91f59a5bbf8053829b084f1fe9a</x:v>
      </x:c>
      <x:c r="H42" s="64" t="b">
        <x:v>1</x:v>
      </x:c>
      <x:c r="I42" s="61"/>
      <x:c r="J42" s="61" t="str">
        <x:v>resolved</x:v>
      </x:c>
      <x:c r="K42" s="61" t="str">
        <x:v>high</x:v>
      </x:c>
      <x:c r="L42" s="61" t="str">
        <x:v>Yonathan Levy</x:v>
      </x:c>
      <x:c r="M42" s="61" t="str">
        <x:v>https://www.linkedin.com/in/yonathan-levy</x:v>
      </x:c>
      <x:c r="N42" s="61" t="str">
        <x:v>https://www.linkedin.com/posts/yonathan-levy_finding-content-ideas-doesnt-have-to-feel-activity-7426958209128591360-0j4s</x:v>
      </x:c>
      <x:c r="O42" s="62"/>
      <x:c r="P42" s="61" t="str">
        <x:v>Yonathan Levy</x:v>
      </x:c>
      <x:c r="Q42" s="61" t="str"/>
      <x:c r="R42" s="61" t="str">
        <x:v>Yonathan Levy</x:v>
      </x:c>
      <x:c r="S42" s="61" t="str">
        <x:v>external_transferable</x:v>
      </x:c>
      <x:c r="T42" s="61" t="str">
        <x:v>no</x:v>
      </x:c>
      <x:c r="U42" s="61" t="str">
        <x:v>https://www.linkedin.com/posts/yonathan-levy_finding-content-ideas-doesnt-have-to-feel-activity-7426958209128591360-0j4s</x:v>
      </x:c>
      <x:c r="V42" s="22" t="str">
        <x:v>Exact caption match.</x:v>
      </x:c>
      <x:c r="W42" s="61" t="str">
        <x:v>no</x:v>
      </x:c>
      <x:c r="X42" s="61" t="str">
        <x:v>curated_top100_workbook</x:v>
      </x:c>
      <x:c r="Y42" s="22" t="str"/>
    </x:row>
    <x:row r="43" ht="24" customHeight="1">
      <x:c r="A43" s="69" t="n">
        <x:v>42</x:v>
      </x:c>
      <x:c r="B43" s="69" t="n">
        <x:v>44</x:v>
      </x:c>
      <x:c r="C43" s="70" t="str">
        <x:v>Everyone tells you to "just post".
But nobody tells you the system for having a successful post.
That's why so many founders are stuck with flatlined reach, low engagement, and no leads, despite showing up every day.
They post, close the app... and nothing happens.
Their impressions drop, and comments dry up. 
So they start questioning whether LinkedIn even works.
It does, you just need the system around the post.
Here's the full system, broken into 3 parts :)
Part 1️⃣: Ideation
Don't start from scratch; use pre-validated content as your foundation.
Find what's already working in your niche, then make it yours 👇
→ Find a top-performing post in your space using Saywhat or Instagram.
→ Open Claude and drop it in as a reference.
→ Brief your angle: Same structure, your insight, your audience.
→ Review, refine, and hit publish.
Part 2️⃣: Going Live
Timing is a tactic, so use it.
Here's how to stop killing the post before it's even posted 👇
→ Post between 7–9 am or 12–2 pm in your audience's time zone.
→ Triple-check spelling and grammar before you go live.
→ Tag 1-2 relevant people max.
Part 3️⃣: After Posting
The next 30 minutes decide how far your content travels. 
This is where you can boost engagement with your ICP 👇
→ First 10 mins: Reply to every comment and engage on 5 posts.
→ Next 10 mins: Check if impressions are moving and profile visits are spiking.
→ Final 10 mins: Identify who engaged, and if they're in your ICP.
(Look for founders, operators, and decision-makers in the comments. 
These are the people worth engaging with directly.)
Most people post and close the app.
Don't be most people !
The more work you put in before and after posting,
The higher your reach will become.
What do you do straight after posting on LinkedIn? 
Drop it below.
Want to go deeper on this? 
Join our upcoming webinar on How Founders Are Generating Leads in 2026. 
You'll get: 
✅ AI workflows that scaled Searchable to $2 million in ARR.
✅ A clear understanding of what's changed on LinkedIn in 2026.
✅ The lead gen systems behind growing Chris's personal brand from 32k to 3M. 
Sign up today so you don't miss out 👉 https://lnkd.in/edEDiMJE
💾 Save this as your go-to posting checklist.
♻️ Repost to help a founder who's posting consistently but not seeing results.
Follow me, Josh S., for more LinkedIn frameworks that actually work.</x:v>
      </x:c>
      <x:c r="D43" s="61" t="str">
        <x:v>9be34822d220b8054114fd566d9b9a036e6f1a25689051266af03a688bdca9b6</x:v>
      </x:c>
      <x:c r="E43" s="61" t="str">
        <x:v>42.jpeg</x:v>
      </x:c>
      <x:c r="F43" s="61" t="str">
        <x:v>/Users/tigershetty/Documents/Codex/2026-06-30/ho/Codex-Linkedin-V3/infographic-setup/references/top 100/42.jpeg</x:v>
      </x:c>
      <x:c r="G43" s="61" t="str">
        <x:v>b8e912afea4f061735129d52cab4ecb39ec778dee2e9211c798b09ca5166090b</x:v>
      </x:c>
      <x:c r="H43" s="64" t="b">
        <x:v>1</x:v>
      </x:c>
      <x:c r="I43" s="61"/>
      <x:c r="J43" s="61" t="str">
        <x:v>resolved</x:v>
      </x:c>
      <x:c r="K43" s="61" t="str">
        <x:v>high</x:v>
      </x:c>
      <x:c r="L43" s="61" t="str">
        <x:v>Josh Sanders</x:v>
      </x:c>
      <x:c r="M43" s="61" t="str">
        <x:v>https://www.linkedin.com/in/joshejsanders</x:v>
      </x:c>
      <x:c r="N43" s="61" t="str">
        <x:v>https://www.linkedin.com/posts/joshejsanders_everyone-tells-you-to-just-post-but-nobody-activity-7462103543844388864-RNc9</x:v>
      </x:c>
      <x:c r="O43" s="62"/>
      <x:c r="P43" s="61" t="str">
        <x:v>Josh Sanders</x:v>
      </x:c>
      <x:c r="Q43" s="61" t="str"/>
      <x:c r="R43" s="61" t="str">
        <x:v>The Creator Accelerator / Josh Sanders</x:v>
      </x:c>
      <x:c r="S43" s="61" t="str">
        <x:v>external_transferable</x:v>
      </x:c>
      <x:c r="T43" s="61" t="str">
        <x:v>no</x:v>
      </x:c>
      <x:c r="U43" s="61" t="str">
        <x:v>https://www.linkedin.com/posts/joshejsanders_everyone-tells-you-to-just-post-but-nobody-activity-7462103543844388864-RNc9</x:v>
      </x:c>
      <x:c r="V43" s="22" t="str">
        <x:v>LinkedIn search may display Josh S.; footer resolves full name.</x:v>
      </x:c>
      <x:c r="W43" s="61" t="str">
        <x:v>no</x:v>
      </x:c>
      <x:c r="X43" s="61" t="str">
        <x:v>curated_top100_workbook</x:v>
      </x:c>
      <x:c r="Y43" s="22" t="str"/>
    </x:row>
    <x:row r="44" ht="24" customHeight="1">
      <x:c r="A44" s="69" t="n">
        <x:v>43</x:v>
      </x:c>
      <x:c r="B44" s="69" t="n">
        <x:v>45</x:v>
      </x:c>
      <x:c r="C44" s="70" t="str">
        <x:v>The Algorithm Insights Report 2026 is built on 1.3M+ posts and 80,000+ profiles.
 It tells you what mistakes to avoid. Where each format breaks. How to get the most out of it. But it doesn't tell you which formats to use.
That part is yours. Every creator builds their own mix based on strengths, goals, and what they actually enjoy making.
And before anyone says "the algorithm doesn't matter" I double dare you to publish a 50-slide carousel. A 12-minute video. A short post with an external link aimed at conversion. Then come back and tell me the algorithm doesn't matter.
It does. 
The report shows you the guardrails. 
But it's only you decide what to drive inside them.
Here's how I use (or ignore) the 8 formats right now:
𝗗𝗼𝗰𝘂𝗺𝗲𝗻𝘁𝘀 → 𝗺𝘆 𝗳𝗮𝘃𝗼𝘂𝗿𝗶𝘁𝗲, 𝗻𝗼 𝗰𝗼𝗻𝘁𝗲𝘀𝘁. Educational content, process breakdowns, authority pieces. Under 10 slides, short copy. The report says 9.2 is the sweet spot. I'm aligned here.
𝗧𝗲𝘅𝘁 + 𝗶𝗺𝗮𝗴𝗲 → 𝗺𝗼𝘀𝘁𝗹𝘆 𝗶𝗻𝗳𝗼𝗴𝗿𝗮𝗽𝗵𝗶𝗰𝘀. Dense information in one visual, or a glimpse into events and meetings. Copy carries as much weight as the image.
𝗧𝗲𝘅𝘁 𝗼𝗻𝗹𝘆 → 𝗜 𝗯𝗮𝗿𝗲𝗹𝘆 𝘂𝘀𝗲 𝗶𝘁. The algorithm has warmed up to it again. I still feel naked without a visual. When it's just words, your writing has to do everything. I'd rather play to my strengths.
𝗡𝗮𝘁𝗶𝘃𝗲 𝘃𝗶𝗱𝗲𝗼 → 𝗼𝗻 𝗺𝘆 𝘁𝗼-𝗱𝗼 𝗹𝗶𝘀𝘁. Couch Talk with Richard had a strong run in 2023–2024. Then I almost forgot about video. It's a heavy production process and I still prefer writing. Honest question: should I start a YouTube channel instead?
𝗣𝗼𝗹𝗹𝘀 → 𝗮 𝗹𝗼𝘁 𝗼𝗳 𝗽𝗲𝗼𝗽𝗹𝗲 𝗵𝗮𝘁𝗲 𝘁𝗵𝗲𝗺. 𝗜 𝗱𝗼𝗻'𝘁. Used well, they're brilliant. I run them when I'm genuinely curious how others handle what's happening on LinkedIn. Some answers are surprisingly funny.
𝗔𝗿𝘁𝗶𝗰𝗹𝗲𝘀 &amp; 𝗻𝗲𝘄𝘀𝗹𝗲𝘁𝘁𝗲𝗿𝘀 → 𝗰𝘂𝗿𝗿𝗲𝗻𝘁𝗹𝘆 𝗺𝘆 𝗳𝗮𝘃𝗼𝘂𝗿𝗶𝘁𝗲. My Sunday newsletter has the highest conversion rate of anything I publish. Depth, thought leadership, real connection. And increasingly important for SEO and GEO.
𝗟𝗶𝗻𝗸𝗲𝗱𝗜𝗻 𝗟𝗶𝘃𝗲 → 𝗴𝘂𝗲𝘀𝘁 𝗺𝗮𝗻𝘆 𝘁𝗶𝗺𝗲𝘀. 𝗛𝗼𝘀𝘁 𝗻𝗲𝘃𝗲𝗿. The infrastructure still intimidates me. But if video is on my list, Live probably should be too.
The report gives you the rules. 
Your mix is yours to build.
→ Full breakdown of all 8 formats (with the data) is in Chapter 3 of the Algorithm Insights Report 2026. 
Get your copy here: https://lnkd.in/eZMq8w_F
One question I'd love your take on: 
→ Should I start my own YouTube channel? Yes or no?</x:v>
      </x:c>
      <x:c r="D44" s="61" t="str">
        <x:v>6460b362221de7b158d6c9daff82fc65844414bf50c6fe74df9047c6e3f00216</x:v>
      </x:c>
      <x:c r="E44" s="61" t="str">
        <x:v>43.jpeg</x:v>
      </x:c>
      <x:c r="F44" s="61" t="str">
        <x:v>/Users/tigershetty/Documents/Codex/2026-06-30/ho/Codex-Linkedin-V3/infographic-setup/references/top 100/43.jpeg</x:v>
      </x:c>
      <x:c r="G44" s="61" t="str">
        <x:v>23226e48f27f3534c97564a7f397c78ba370919bb263cdcd1214396ea033b980</x:v>
      </x:c>
      <x:c r="H44" s="64" t="b">
        <x:v>1</x:v>
      </x:c>
      <x:c r="I44" s="61"/>
      <x:c r="J44" s="61" t="str">
        <x:v>resolved</x:v>
      </x:c>
      <x:c r="K44" s="61" t="str">
        <x:v>high</x:v>
      </x:c>
      <x:c r="L44" s="61" t="str">
        <x:v>Richard van der Blom</x:v>
      </x:c>
      <x:c r="M44" s="61" t="str">
        <x:v>https://www.linkedin.com/in/richardvanderblom</x:v>
      </x:c>
      <x:c r="N44" s="61" t="str">
        <x:v>https://www.linkedin.com/posts/richardvanderblom_the-algorithm-insights-report-2026-is-built-activity-7462022923265134592-_rGV</x:v>
      </x:c>
      <x:c r="O44" s="62"/>
      <x:c r="P44" s="61" t="str">
        <x:v>Richard van der Blom</x:v>
      </x:c>
      <x:c r="Q44" s="61" t="str"/>
      <x:c r="R44" s="61" t="str">
        <x:v>RichardvanderBlom.com BV / AuthoredUp</x:v>
      </x:c>
      <x:c r="S44" s="61" t="str">
        <x:v>external_transferable</x:v>
      </x:c>
      <x:c r="T44" s="61" t="str">
        <x:v>no</x:v>
      </x:c>
      <x:c r="U44" s="61" t="str">
        <x:v>https://www.linkedin.com/posts/richardvanderblom_the-algorithm-insights-report-2026-is-built-activity-7462022923265134592-_rGV</x:v>
      </x:c>
      <x:c r="V44" s="22" t="str">
        <x:v>Exact caption and source match.</x:v>
      </x:c>
      <x:c r="W44" s="61" t="str">
        <x:v>no</x:v>
      </x:c>
      <x:c r="X44" s="61" t="str">
        <x:v>curated_top100_workbook</x:v>
      </x:c>
      <x:c r="Y44" s="22" t="str"/>
    </x:row>
    <x:row r="45" ht="24" customHeight="1">
      <x:c r="A45" s="69" t="n">
        <x:v>44</x:v>
      </x:c>
      <x:c r="B45" s="69" t="n">
        <x:v>46</x:v>
      </x:c>
      <x:c r="C45" s="70" t="str">
        <x:v>A CEO told me last month that his supply chain team is running flat out and falling further behind every quarter.
I asked him what tools they were using. MRP. Forecast-driven. Same system they installed in 1998 getting ready for the Y2K crisis.
I asked him what had changed since 1998. 
He laughed. 
EVERYTHING. 
Customer expectations. 
Product complexity. 
Lead time pressure. 
Supplier reliability. 
Demand volatility. 
Geopolitics. 
The only thing that didn't change is now it is a real crisis. 
Everything changed. The planning tools did not.
MRP was designed in the 1960s for a stable world with predictable demand and reliable supply. That world is gone. It has been gone for a long time. And the planning profession has been absorbing the consequences every single day.
Your planners are not failing. Their tools are failing them.
I know because I have been on that shop floor. I started at minimum wage. I have run the plant. I have sweated payroll. And I have stared at a screen full of exception messages knowing that the system is telling me to do things that will make the problem worse.
The answer is not a better forecast. The answer is not a fancier algorithm. The answer is not AI layered on top of broken logic.
The answer is to stop pushing product based on predictions and start pulling based on what is actually happening. Successful companies sense and adapt to the world around them. Agility with stability. But how?
Strategically placed decoupling points. Buffers that adjust dynamically. Execution visibility your planners can trust without building a shadow system in Excel.
Roughly right is better than precisely wrong.
The methodology exists. It works in pharma, automotive, chemicals, consumer goods, aerospace. Across six continents. In companies with 50 employees and companies with 50,000.
The only barrier is the deep belief that "this is just how supply chain is."
It is not. I have spent 50 years proving it is not.
What planning assumption is your company still running on that everybody knows is wrong but nobody will say out loud?</x:v>
      </x:c>
      <x:c r="D45" s="61" t="str">
        <x:v>f46893cd95ddb0dbd15c2882a6e30e90159e25db1c2a3c295fd140a7617c135e</x:v>
      </x:c>
      <x:c r="E45" s="61" t="str">
        <x:v>44.jpeg</x:v>
      </x:c>
      <x:c r="F45" s="61" t="str">
        <x:v>/Users/tigershetty/Documents/Codex/2026-06-30/ho/Codex-Linkedin-V3/infographic-setup/references/top 100/44.jpeg</x:v>
      </x:c>
      <x:c r="G45" s="61" t="str">
        <x:v>2637f835963dc5861be43ce3cef0d525cc7373948128324be6a69fd853277ca3</x:v>
      </x:c>
      <x:c r="H45" s="64" t="b">
        <x:v>1</x:v>
      </x:c>
      <x:c r="I45" s="61"/>
      <x:c r="J45" s="61" t="str">
        <x:v>resolved</x:v>
      </x:c>
      <x:c r="K45" s="61" t="str">
        <x:v>high</x:v>
      </x:c>
      <x:c r="L45" s="61" t="str">
        <x:v>Carol Ptak</x:v>
      </x:c>
      <x:c r="M45" s="61" t="str">
        <x:v>https://www.linkedin.com/in/demanddrivencarol</x:v>
      </x:c>
      <x:c r="N45" s="61" t="str">
        <x:v>https://www.linkedin.com/posts/demanddrivencarol_a-ceo-told-me-last-month-that-his-supply-activity-7458568915321982976-xuiZ</x:v>
      </x:c>
      <x:c r="O45" s="62" t="str">
        <x:v>2026-05-08</x:v>
      </x:c>
      <x:c r="P45" s="61" t="str">
        <x:v>Carol Ptak</x:v>
      </x:c>
      <x:c r="Q45" s="61" t="str"/>
      <x:c r="R45" s="61" t="str">
        <x:v>Demand Driven Institute</x:v>
      </x:c>
      <x:c r="S45" s="61" t="str">
        <x:v>direct_scm</x:v>
      </x:c>
      <x:c r="T45" s="61" t="str">
        <x:v>no</x:v>
      </x:c>
      <x:c r="U45" s="61" t="str">
        <x:v>https://www.linkedin.com/posts/demand-driven-institute_ddmrp-demanddriven-supplychaininovation-activity-7459598370131611648-N0Ve</x:v>
      </x:c>
      <x:c r="V45" s="22" t="str">
        <x:v>Exact original recovered; company reshare remains separate visual-source evidence.</x:v>
      </x:c>
      <x:c r="W45" s="61" t="str">
        <x:v>no</x:v>
      </x:c>
      <x:c r="X45" s="61" t="str">
        <x:v>curated_top100_workbook</x:v>
      </x:c>
      <x:c r="Y45" s="22" t="str"/>
    </x:row>
    <x:row r="46" ht="24" customHeight="1">
      <x:c r="A46" s="69" t="n">
        <x:v>45</x:v>
      </x:c>
      <x:c r="B46" s="69" t="n">
        <x:v>47</x:v>
      </x:c>
      <x:c r="C46" s="70" t="str">
        <x:v>If I had to start my LinkedIn again, this would be my exact plan: 
(To hit 10,000 followers in 90 days)
→ 0 to 500: Prove you exist
↳ Pick one outcome (growth, clients, authority)
↳ Choose 2-4 content pillars &amp; stick to them
↳ Comment on 10 posts every day
↳ Post 3 x per week minimum
↳ Write as you talk
☑️ Your only goal here is not quitting.
→ 500 to 2K: Get specific.
↳ Name your audience (title, industry, problems)
↳ Study top performing posts &amp; do more of that
↳ Reply to every comment for 60 mins after posting
↳ Share what's working and what failed
☑️ People trust progress, not perfection.
→ 2K to 5K: Build the engine
↳ One story-driven post per week
↳ Save every high-performing post
↳ Comment like it's content
↳ Track saves and DMs
☑️ If your DMs are quiet, your content isn't converting.
→ 5K to 10K: Repurpose and convert
↳ Turn your top 5 posts into carousels &amp; infographics
↳ One conversion post per week (results &amp; proof)
↳ Collaborate with creators at your level
↳ Earn trust through your content
☑️ At this stage, consistency is the product.
If you want to grow your LinkedIn…
You have to be strategic. 
You have to be consistent. 
You have to be intentional. 
Do those things and you will grow. 
♻️ Repost so your network sees this.
P.S. Which stage are you at?</x:v>
      </x:c>
      <x:c r="D46" s="61" t="str">
        <x:v>f27ee1b1949a3d3bf7ba8c00bf33af4aa59e89ca9bf2ebbfdf977b148b9a6c6c</x:v>
      </x:c>
      <x:c r="E46" s="61" t="str">
        <x:v>45.jpeg</x:v>
      </x:c>
      <x:c r="F46" s="61" t="str">
        <x:v>/Users/tigershetty/Documents/Codex/2026-06-30/ho/Codex-Linkedin-V3/infographic-setup/references/top 100/45.jpeg</x:v>
      </x:c>
      <x:c r="G46" s="61" t="str">
        <x:v>de3765baff3b8f0d738f6c577b8742d961ec4694c5bc49c64d1beb8318e38539</x:v>
      </x:c>
      <x:c r="H46" s="64" t="b">
        <x:v>1</x:v>
      </x:c>
      <x:c r="I46" s="61"/>
      <x:c r="J46" s="61" t="str">
        <x:v>resolved</x:v>
      </x:c>
      <x:c r="K46" s="61" t="str">
        <x:v>high</x:v>
      </x:c>
      <x:c r="L46" s="61" t="str">
        <x:v>Mischa Collins</x:v>
      </x:c>
      <x:c r="M46" s="61" t="str">
        <x:v>https://www.linkedin.com/in/mischa-collins</x:v>
      </x:c>
      <x:c r="N46" s="61" t="str">
        <x:v>https://www.linkedin.com/posts/mischa-collins_if-i-had-to-start-my-linkedin-again-this-activity-7462094771885449216-D6zg</x:v>
      </x:c>
      <x:c r="O46" s="62"/>
      <x:c r="P46" s="61" t="str">
        <x:v>Mischa Collins</x:v>
      </x:c>
      <x:c r="Q46" s="61" t="str"/>
      <x:c r="R46" s="61" t="str">
        <x:v>Mischa Collins</x:v>
      </x:c>
      <x:c r="S46" s="61" t="str">
        <x:v>external_transferable</x:v>
      </x:c>
      <x:c r="T46" s="61" t="str">
        <x:v>no</x:v>
      </x:c>
      <x:c r="U46" s="61" t="str">
        <x:v>https://www.linkedin.com/posts/mischa-collins_if-i-had-to-start-my-linkedin-again-this-activity-7462094771885449216-D6zg</x:v>
      </x:c>
      <x:c r="V46" s="22" t="str">
        <x:v>Exact caption and visual match.</x:v>
      </x:c>
      <x:c r="W46" s="61" t="str">
        <x:v>no</x:v>
      </x:c>
      <x:c r="X46" s="61" t="str">
        <x:v>curated_top100_workbook</x:v>
      </x:c>
      <x:c r="Y46" s="22" t="str"/>
    </x:row>
    <x:row r="47" ht="24" customHeight="1">
      <x:c r="A47" s="69" t="n">
        <x:v>46</x:v>
      </x:c>
      <x:c r="B47" s="69" t="n">
        <x:v>48</x:v>
      </x:c>
      <x:c r="C47" s="70" t="str">
        <x:v>Most people think supply chains run on ERP systems 🖥
They don’t.
They run on a 3-layer 🌐planning engine.
And whether you manufacture products, distribute them, or simply procure and resell them…
the logic is fundamentally the same.
━━━━━━━━━━━━━━━
📊 LAYER 1 — DEMAND PLANNING
“What is likely to happen?”
━━━━━━━━━━━━━━━
This layer senses and predicts demand using:
✅ Historical trends
✅ Promotions &amp; pricing
✅ Market intelligence
✅ POS / downstream signals
✅ Seasonality
✅ AI-assisted forecasting
✅ Scenario planning
The goal is NOT perfect forecasting.
The real goal is:
⚡ Faster decision-making under uncertainty.
━━━━━━━━━━━━━━━
⚙️ LAYER 2 — SUPPLY PLANNING
“How will the network respond?”
━━━━━━━━━━━━━━━
This is the orchestration layer.
Depending on the business model, this may involve:
🏭 Manufacturing planning
📦 Inventory planning
🚚 Replenishment planning
🌐 Deployment planning
🛒 Allocation planning
🏢 Capacity planning
This layer balances:
⚖️ Service levels
⚖️ Capacity
⚖️ Inventory
⚖️ Lead times
⚖️ Cost
⚖️ Flexibility
This is where most supply chain trade-offs are made.
━━━━━━━━━━━━━━━
📦 LAYER 3 — EXECUTION PLANNING
“What exactly needs to happen?”
━━━━━━━━━━━━━━━
This layer converts plans into execution:
✅ Purchase orders
✅ Supplier schedules
✅ Production orders
✅ Warehouse replenishments
✅ Transportation movements
✅ Inventory deployments
This is where instability gets amplified if upstream signals are weak.
And this is exactly why small demand changes often create massive upstream disruption.
━━━━━━━━━━━━━━━
🚨 WHY MANY PLANNING ORGANIZATIONS STILL STRUGGLE
━━━━━━━━━━━━━━━
Because these layers often operate in silos.
Demand planners forecast.
Supply planners firefight.
Procurement expedites.
Warehouses react.
Finance questions inventory.
Everyone optimizes locally.
The network suffers globally.
━━━━━━━━━━━━━━━
🚀 WHAT LEADING ORGANIZATIONS ARE DOING DIFFERENTLY
━━━━━━━━━━━━━━━
Modern supply chains are shifting toward:
✅ AI-assisted planning
✅ Real-time replanning
✅ End-to-end visibility
✅ Scenario simulations
✅ Constraint-aware planning
✅ Demand sensing
✅ Multi-echelon inventory optimization
✅ Integrated Business Planning (IBP)
The future of planning is no longer:
Forecast → Plan → Execute
It is becoming:
📡 Sense → Simulate → Decide → Adapt
Continuously.
And the companies that master this loop will build the fastest, smartest, and most resilient supply chains of the next decade.</x:v>
      </x:c>
      <x:c r="D47" s="61" t="str">
        <x:v>b2348f421037bea6d60964724c300a24bbcaa6e1fea5a63ba9560b9013c780c0</x:v>
      </x:c>
      <x:c r="E47" s="61" t="str">
        <x:v>46.jpeg</x:v>
      </x:c>
      <x:c r="F47" s="61" t="str">
        <x:v>/Users/tigershetty/Documents/Codex/2026-06-30/ho/Codex-Linkedin-V3/infographic-setup/references/top 100/46.jpeg</x:v>
      </x:c>
      <x:c r="G47" s="61" t="str">
        <x:v>e60246153e59944c23d74fa3f2626014c1c27544e3905f7aced1e3f5fb9a96b2</x:v>
      </x:c>
      <x:c r="H47" s="64" t="b">
        <x:v>1</x:v>
      </x:c>
      <x:c r="I47" s="61"/>
      <x:c r="J47" s="61" t="str">
        <x:v>resolved</x:v>
      </x:c>
      <x:c r="K47" s="61" t="str">
        <x:v>high</x:v>
      </x:c>
      <x:c r="L47" s="61" t="str">
        <x:v>Mayank Pandey</x:v>
      </x:c>
      <x:c r="M47" s="61" t="str">
        <x:v>https://www.linkedin.com/in/mayank-pandey-56359295</x:v>
      </x:c>
      <x:c r="N47" s="61" t="str">
        <x:v>https://www.linkedin.com/posts/mayank-pandey-56359295_supplychain-demandplanning-supplyplanning-activity-7460562088730562560-8FoF</x:v>
      </x:c>
      <x:c r="O47" s="62"/>
      <x:c r="P47" s="61" t="str">
        <x:v>Mayank Pandey</x:v>
      </x:c>
      <x:c r="Q47" s="61" t="str"/>
      <x:c r="R47" s="61" t="str">
        <x:v>unresolved</x:v>
      </x:c>
      <x:c r="S47" s="61" t="str">
        <x:v>direct_scm</x:v>
      </x:c>
      <x:c r="T47" s="61" t="str">
        <x:v>no</x:v>
      </x:c>
      <x:c r="U47" s="61" t="str">
        <x:v>https://www.linkedin.com/posts/mayank-pandey-56359295_supplychain-demandplanning-supplyplanning-activity-7460562088730562560-8FoF</x:v>
      </x:c>
      <x:c r="V47" s="22" t="str">
        <x:v>Permalink recovered from public reaction redirect.</x:v>
      </x:c>
      <x:c r="W47" s="61" t="str">
        <x:v>no</x:v>
      </x:c>
      <x:c r="X47" s="61" t="str">
        <x:v>curated_top100_workbook</x:v>
      </x:c>
      <x:c r="Y47" s="22" t="str"/>
    </x:row>
    <x:row r="48" ht="24" customHeight="1">
      <x:c r="A48" s="69" t="n">
        <x:v>47</x:v>
      </x:c>
      <x:c r="B48" s="69" t="n">
        <x:v>49</x:v>
      </x:c>
      <x:c r="C48" s="70" t="str">
        <x:v>Claude for hashtag#IndustrialEngineers in 2026 (A LinkedIn Series)
💡AI is a powerful tool, but your Industrial Engineering expertise is irreplaceable. Strategic prompting works best when it’s grounded in your IE knowledge and years of experience. Always exercise caution when using AI, follow your corporate policies, and remember, this table is meant as a guide, not a substitute for professional judgment.
⚠️ NEVER share sensitive or proprietary data with external AI tools. Even if you have Internal AI tool, ALWAYS check internal policies.
⚠️ Follow your company’s AI usage policies (many now publish clear guidelines).
⚠️ THIS IS MAINLY FOR LEARNING: Use anonymized or simulated data for learning, testing, or brainstorming prompts.
────୨ৎ────
Before Claude vs. After Claude + and the exact prompts to get there.
⬛ the real difference
Before Claude:
 VSM drawn by hand in Visio → 2–3 days
 FMEA row by row → entire afternoon
 SOP written from scratch → every time
 Root cause analysis → 2-hour whiteboard session
 OEE calculated manually after every shift
After Claude:
 VSM structured with takt time + bottleneck in ~40 min
 FMEA ranked by RPN, ready for review
 Operator SOP generated in minutes
 5 Whys + fishbone pre-built and organized
 OEE broken into real loss drivers instantly
🗒️ STARTER PROMPTS 
(Subscribe here https://lnkd.in/g8kMjf4c for FULL PROMPTS)
✅ Value Stream Map
 “Map my current state VSM for [process]… calculate takt time, lead time, VA time, identify bottleneck.”
✅ FMEA
 “Build an FMEA for [process]… score severity, occurrence, detection (1–10). Rank by RPN.”
✅ Root Cause Analysis
 “Run a 5 Whys on this defect… then build a fishbone (Man, Machine, Method, Material, Environment).”
✅ Line Balance
 “Balance this line using takt time… identify bottleneck and efficiency.”
✅ OEE Analysis
 “Break down OEE from shift data… include 6 big losses and top 2 priorities.”
✅ SOP Draft
 “Write an operator SOP… include steps, safety, and quality checkpoints.”
✅ Lean Audit
 “Analyze for 8 wastes and suggest countermeasures.”
✅ Capital ROI
 “Build a capital justification with payback, NPV, and project charter.”
🚀 See Prompt Engineering Starter Guide:🚀 https://lnkd.in/grn3-ft2
📨 1 AI + engineering workflow every week. 
Follow for more. 🩵 
────୨ৎ────
🚀 New Substack Article (first comment)🚀 </x:v>
      </x:c>
      <x:c r="D48" s="61" t="str">
        <x:v>35215636ad81e108df8f8f24a18baa00abd353d3e420f15499005d8c8e634bfd</x:v>
      </x:c>
      <x:c r="E48" s="61" t="str">
        <x:v>47.jpeg</x:v>
      </x:c>
      <x:c r="F48" s="61" t="str">
        <x:v>/Users/tigershetty/Documents/Codex/2026-06-30/ho/Codex-Linkedin-V3/infographic-setup/references/top 100/47.jpeg</x:v>
      </x:c>
      <x:c r="G48" s="61" t="str">
        <x:v>25e7121d37f11ef327c61f4bf192bef301a6da859247df9c5967e2034d1c20f1</x:v>
      </x:c>
      <x:c r="H48" s="64" t="b">
        <x:v>1</x:v>
      </x:c>
      <x:c r="I48" s="61"/>
      <x:c r="J48" s="61" t="str">
        <x:v>resolved</x:v>
      </x:c>
      <x:c r="K48" s="61" t="str">
        <x:v>high</x:v>
      </x:c>
      <x:c r="L48" s="61" t="str">
        <x:v>Korina Mercado</x:v>
      </x:c>
      <x:c r="M48" s="61" t="str">
        <x:v>https://www.linkedin.com/in/mercadokorina</x:v>
      </x:c>
      <x:c r="N48" s="61" t="str">
        <x:v>https://www.linkedin.com/posts/mercadokorina_industrialengineers-industrialengineering-activity-7459787333303943168-2BrI</x:v>
      </x:c>
      <x:c r="O48" s="62"/>
      <x:c r="P48" s="61" t="str">
        <x:v>Korina Mercado</x:v>
      </x:c>
      <x:c r="Q48" s="61" t="str"/>
      <x:c r="R48" s="61" t="str">
        <x:v>Korina Mercado</x:v>
      </x:c>
      <x:c r="S48" s="61" t="str">
        <x:v>implementation_adjacent</x:v>
      </x:c>
      <x:c r="T48" s="61" t="str">
        <x:v>no</x:v>
      </x:c>
      <x:c r="U48" s="61" t="str">
        <x:v>https://www.linkedin.com/posts/mercadokorina_industrialengineers-industrialengineering-activity-7459787333303943168-2BrI</x:v>
      </x:c>
      <x:c r="V48" s="22" t="str">
        <x:v>Exact caption and visual attribution match.</x:v>
      </x:c>
      <x:c r="W48" s="61" t="str">
        <x:v>no</x:v>
      </x:c>
      <x:c r="X48" s="61" t="str">
        <x:v>curated_top100_workbook</x:v>
      </x:c>
      <x:c r="Y48" s="22" t="str"/>
    </x:row>
    <x:row r="49" ht="24" customHeight="1">
      <x:c r="A49" s="69" t="n">
        <x:v>48</x:v>
      </x:c>
      <x:c r="B49" s="69" t="n">
        <x:v>50</x:v>
      </x:c>
      <x:c r="C49" s="70" t="str">
        <x:v>he best way to sell on LinkedIn is to stop selling.
Sounds weird, but the data backs it up.
HubSpot found that inbound leads convert at 14.6%.
Outbound converts at 1.7%.
That is not a small gap.
People who find you through your content are 8x more likely to buy than people you cold message.
The problem is that inbound takes time.
Three to six months of consistent posting before the pipeline builds.
That is why everyone defaults to outbound and skips the content part.
Here is what that looks like:
Phase 1 is research.
Pick your niche, define your ICP, study what is already working in your space.
Phase 2 is building.
Post 3-4x a week. Track what performs weekly and double down on what works.
Phase 3 is where it pays off.
Build a content bank, create a guide that people associate with your name.
Your content does the selling.
You just have to give it time.</x:v>
      </x:c>
      <x:c r="D49" s="61" t="str">
        <x:v>c5f9b6b5f6ed02942cbe5eaf6dc01bb9e715ee5d13a002b17284295b84954cfc</x:v>
      </x:c>
      <x:c r="E49" s="61" t="str">
        <x:v>48.jpeg</x:v>
      </x:c>
      <x:c r="F49" s="61" t="str">
        <x:v>/Users/tigershetty/Documents/Codex/2026-06-30/ho/Codex-Linkedin-V3/infographic-setup/references/top 100/48.jpeg</x:v>
      </x:c>
      <x:c r="G49" s="61" t="str">
        <x:v>03c08d05b7a86479d2c270b231b6a60aea919c410cedd5e9df27cc5ef00c6324</x:v>
      </x:c>
      <x:c r="H49" s="64" t="b">
        <x:v>1</x:v>
      </x:c>
      <x:c r="I49" s="61"/>
      <x:c r="J49" s="61" t="str">
        <x:v>resolved</x:v>
      </x:c>
      <x:c r="K49" s="61" t="str">
        <x:v>high</x:v>
      </x:c>
      <x:c r="L49" s="61" t="str">
        <x:v>Yonathan Levy</x:v>
      </x:c>
      <x:c r="M49" s="61" t="str">
        <x:v>https://www.linkedin.com/in/yonathan-levy</x:v>
      </x:c>
      <x:c r="N49" s="61" t="str">
        <x:v>https://www.linkedin.com/posts/yonathan-levy_the-best-way-to-sell-on-linkedin-is-to-stop-activity-7461007326070800384-fktl</x:v>
      </x:c>
      <x:c r="O49" s="62"/>
      <x:c r="P49" s="61" t="str">
        <x:v>Yonathan Levy</x:v>
      </x:c>
      <x:c r="Q49" s="61" t="str"/>
      <x:c r="R49" s="61" t="str">
        <x:v>Yonathan Levy</x:v>
      </x:c>
      <x:c r="S49" s="61" t="str">
        <x:v>external_transferable</x:v>
      </x:c>
      <x:c r="T49" s="61" t="str">
        <x:v>no</x:v>
      </x:c>
      <x:c r="U49" s="61" t="str">
        <x:v>https://www.linkedin.com/posts/yonathan-levy_the-best-way-to-sell-on-linkedin-is-to-stop-activity-7461007326070800384-fktl</x:v>
      </x:c>
      <x:c r="V49" s="22" t="str">
        <x:v>Exact caption and visual match.</x:v>
      </x:c>
      <x:c r="W49" s="61" t="str">
        <x:v>no</x:v>
      </x:c>
      <x:c r="X49" s="61" t="str">
        <x:v>curated_top100_workbook</x:v>
      </x:c>
      <x:c r="Y49" s="22" t="str"/>
    </x:row>
    <x:row r="50" ht="24" customHeight="1">
      <x:c r="A50" s="69" t="n">
        <x:v>49</x:v>
      </x:c>
      <x:c r="B50" s="69" t="n">
        <x:v>51</x:v>
      </x:c>
      <x:c r="C50" s="70" t="str">
        <x:v>6 Steps. 1 Goal: 𝐁𝐞𝐭𝐭𝐞𝐫 𝐎𝐮𝐭𝐜𝐨𝐦𝐞𝐬 𝐰𝐢𝐭𝐡 𝐀𝐈
If you’re ready to move procurement from a back-office function to a 𝐯𝐚𝐥𝐮𝐞 𝐠𝐞𝐧𝐞𝐫𝐚𝐭𝐢𝐧𝐠 𝐩𝐨𝐰𝐞𝐫𝐡𝐨𝐮𝐬𝐞, follow these 6 core principles:
𝟏. 𝐏𝐫𝐨𝐜𝐞𝐬𝐬 𝐨𝐯𝐞𝐫 𝐓𝐨𝐨𝐥𝐬: Solve the problem before picking the tech.
𝟐. 𝐒𝐩𝐞𝐜𝐢𝐟𝐢𝐜𝐢𝐭𝐲 𝐨𝐯𝐞𝐫 𝐆𝐞𝐧𝐞𝐫𝐚𝐥𝐢𝐭𝐲: Narrow your use case for real impact.
𝟑. 𝐌𝐚𝐩𝐩𝐢𝐧𝐠 𝐨𝐯𝐞𝐫 𝐆𝐮𝐞𝐬𝐬𝐢𝐧𝐠: Understand your workflow before you change it.
𝟒. 𝐕𝐚𝐥𝐮𝐞 𝐨𝐯𝐞𝐫 𝐏𝐫𝐨𝐦𝐢𝐬𝐞𝐬: Choose an entry point that proves ROI fast.
𝟓. 𝐂𝐨𝐧𝐬𝐢𝐬𝐭𝐞𝐧𝐜𝐲 𝐨𝐯𝐞𝐫 𝐏𝐢𝐥𝐨𝐭𝐬: Scale what works to build a competitive advantage.
𝟔. 𝐅𝐨𝐮𝐧𝐝𝐚𝐭𝐢𝐨𝐧 𝐨𝐯𝐞𝐫 𝐇𝐲𝐩𝐞: AI is only as strong as your data and governance.
The future of procurement is 𝐢𝐧𝐭𝐞𝐥𝐥𝐢𝐠𝐞𝐧𝐭, 𝐚𝐮𝐭𝐨𝐦𝐚𝐭𝐞𝐝, and 𝐬𝐭𝐫𝐚𝐭𝐞𝐠𝐢𝐜.
Are you ready to lead the change?
𝐉𝐨𝐢𝐧 our free newsletter for weekly AI tips in procurement and supply chain → https://lnkd.in/ebGwQKwH
🔖 𝐒𝐚𝐯𝐞 so you never lose sight of the essentials during your AI transition.
♻️ 𝐑𝐞𝐩𝐨𝐬𝐭 these 6 golden rules with your colleagues and network.
🔔 𝐅𝐨𝐥𝐥𝐨𝐰 Asmaa Gad &amp; Supply Chain AI Pro for more AI insights!</x:v>
      </x:c>
      <x:c r="D50" s="61" t="str">
        <x:v>e021e0b5d3721afaf057f3e97d5bd409e454723c3531442899aa855dfbe1b27a</x:v>
      </x:c>
      <x:c r="E50" s="61" t="str">
        <x:v>49.jpeg</x:v>
      </x:c>
      <x:c r="F50" s="61" t="str">
        <x:v>/Users/tigershetty/Documents/Codex/2026-06-30/ho/Codex-Linkedin-V3/infographic-setup/references/top 100/49.jpeg</x:v>
      </x:c>
      <x:c r="G50" s="61" t="str">
        <x:v>dfd61d763c910b963279d198de9b1e6fc2c795e16329076358327b2a3e454bbd</x:v>
      </x:c>
      <x:c r="H50" s="64" t="b">
        <x:v>1</x:v>
      </x:c>
      <x:c r="I50" s="61"/>
      <x:c r="J50" s="61" t="str">
        <x:v>resolved</x:v>
      </x:c>
      <x:c r="K50" s="61" t="str">
        <x:v>high</x:v>
      </x:c>
      <x:c r="L50" s="61" t="str">
        <x:v>Asmaa Gad</x:v>
      </x:c>
      <x:c r="M50" s="61" t="str">
        <x:v>https://www.linkedin.com/in/supplychainaipro</x:v>
      </x:c>
      <x:c r="N50" s="61" t="str">
        <x:v>https://www.linkedin.com/posts/supplychainaipro_6-steps-1-goal-%F0%9D%90%81%F0%9D%90%9E%F0%9D%90%AD%F0%9D%90%AD%F0%9D%90%9E%F0%9D%90%AB-%F0%9D%90%8E%F0%9D%90%AE%F0%9D%90%AD%F0%9D%90%9C%F0%9D%90%A8%F0%9D%90%A6%F0%9D%90%9E%F0%9D%90%AC-activity-7460581602880864258-e787</x:v>
      </x:c>
      <x:c r="O50" s="62"/>
      <x:c r="P50" s="61" t="str">
        <x:v>Asmaa Gad</x:v>
      </x:c>
      <x:c r="Q50" s="61" t="str"/>
      <x:c r="R50" s="61" t="str">
        <x:v>Supply Chain AI Pro</x:v>
      </x:c>
      <x:c r="S50" s="61" t="str">
        <x:v>direct_scm</x:v>
      </x:c>
      <x:c r="T50" s="61" t="str">
        <x:v>yes</x:v>
      </x:c>
      <x:c r="U50" s="61" t="str">
        <x:v>https://www.linkedin.com/posts/supplychainaipro_6-steps-1-goal-%F0%9D%90%81%F0%9D%90%9E%F0%9D%90%AD%F0%9D%90%AD%F0%9D%90%9E%F0%9D%90%AB-%F0%9D%90%8E%F0%9D%90%AE%F0%9D%90%AD%F0%9D%90%9C%F0%9D%90%A8%F0%9D%90%A6%F0%9D%90%9E%F0%9D%90%AC-activity-7460581602880864258-e787</x:v>
      </x:c>
      <x:c r="V50" s="22" t="str">
        <x:v>Exact caption and visual match.</x:v>
      </x:c>
      <x:c r="W50" s="61" t="str">
        <x:v>no</x:v>
      </x:c>
      <x:c r="X50" s="61" t="str">
        <x:v>curated_top100_workbook</x:v>
      </x:c>
      <x:c r="Y50" s="22" t="str"/>
    </x:row>
    <x:row r="51" ht="24" customHeight="1">
      <x:c r="A51" s="69" t="n">
        <x:v>50</x:v>
      </x:c>
      <x:c r="B51" s="69" t="n">
        <x:v>52</x:v>
      </x:c>
      <x:c r="C51" s="70" t="str">
        <x:v>veryone overcomplicates LinkedIn growth.
(here's the system that grew 1000+ accounts)
As you might know, I run Stanley
And Stanley has done something cool.
He's coached 1000+ people to grow faster on LinkedIn.
And it worked!! 
Same playbook every time. 
Here are the basics:
𝟭) 𝗧𝗵𝗲 𝟭𝟬-𝗺𝗶𝗻𝘂𝘁𝗲 𝗽𝗿𝗼𝗳𝗶𝗹𝗲 𝗮𝘂𝗱𝗶𝘁
↳ Profile picture: high quality, 80% face
↳ Headline: tell your audience exactly what you do
↳ Banner: proof + CTA + one clear offer
↳ About: your story, their pain, your solution, next step
↳ Featured: single path to your offers
𝟮) 𝗧𝗵𝗲 𝟲𝟬-𝗺𝗶𝗻𝘂𝘁𝗲 𝗱𝗮𝗶𝗹𝘆 𝗹𝗼𝗼𝗽 (𝘁𝗵𝗲 𝗿𝗲𝗮𝗹 𝘀𝗲𝗰𝗿𝗲𝘁)
↳ 15 min: Support creators with comments
↳ 15 min: Ship one post (text, carousel, or infographic)
↳ 15 min: Reply to every comment within 15 minutes
↳ 10 min: DM new engagers with purpose (no pitch slaps)
↳ 5 min: 10 targeted connection requests
𝟯) 𝗪𝗲𝗲𝗸𝗹𝘆 𝗰𝗼𝗻𝘁𝗲𝗻𝘁 𝗺𝗶𝘅 (𝟱 𝗽𝗼𝘀𝘁𝘀/𝘄𝗲𝗲𝗸)
↳ 2x Attract: broad topics for wide reach
↳ 2x Nurture: niche problems your ICP has, with solutions
↳ 1x Conversion: case studies or success stories
𝟰) 𝗛𝗼𝗼𝗸𝘀 𝘁𝗵𝗮𝘁 𝘀𝘁𝗼𝗽 𝘁𝗵𝗲 𝘀𝗰𝗿𝗼𝗹𝗹
↳ "Most people do [common habit] and fail. Do this instead."
↳ "I wasted [time/money] on [thing]. Here's what I'd do instead."
↳ "If I started from 0, this is how I'd get my first [promise]."
𝟱) 𝗧𝗿𝗮𝗰𝗸 𝘄𝗵𝗮𝘁 𝗮𝗰𝘁𝘂𝗮𝗹𝗹𝘆 𝗺𝗮𝘁𝘁𝗲𝗿𝘀
↳ Saves and shares (not just likes)
↳ Profile views
↳ DMs and comments
↳ Booked calls
Building a system is half the battle. The other half is knowing why some posts win and others fall flat.
Stanley also analyzed 540,000 LinkedIn posts to find out.
Comment "STANLEY" and I'll send you the full report.</x:v>
      </x:c>
      <x:c r="D51" s="61" t="str">
        <x:v>dcb3e61b22db4e8f3caf281190bf0ee663386717f1dc0d5e62ecd887380bc983</x:v>
      </x:c>
      <x:c r="E51" s="61" t="str">
        <x:v>50.jpeg</x:v>
      </x:c>
      <x:c r="F51" s="61" t="str">
        <x:v>/Users/tigershetty/Documents/Codex/2026-06-30/ho/Codex-Linkedin-V3/infographic-setup/references/top 100/50.jpeg</x:v>
      </x:c>
      <x:c r="G51" s="61" t="str">
        <x:v>7fe1eb86798730fc5bd26e03eabf87c5a8097275ada8615e61aefff1dbdebd43</x:v>
      </x:c>
      <x:c r="H51" s="64" t="b">
        <x:v>1</x:v>
      </x:c>
      <x:c r="I51" s="61"/>
      <x:c r="J51" s="61" t="str">
        <x:v>resolved</x:v>
      </x:c>
      <x:c r="K51" s="61" t="str">
        <x:v>high</x:v>
      </x:c>
      <x:c r="L51" s="61" t="str">
        <x:v>MJ Jaindl</x:v>
      </x:c>
      <x:c r="M51" s="61" t="str">
        <x:v>https://www.linkedin.com/in/jaindl</x:v>
      </x:c>
      <x:c r="N51" s="61" t="str">
        <x:v>https://www.linkedin.com/posts/jaindl_everyone-overcomplicates-linkedin-growth-activity-7460295282996649984-wKSn</x:v>
      </x:c>
      <x:c r="O51" s="62"/>
      <x:c r="P51" s="61" t="str">
        <x:v>MJ Jaindl</x:v>
      </x:c>
      <x:c r="Q51" s="61" t="str"/>
      <x:c r="R51" s="61" t="str">
        <x:v>Stanley</x:v>
      </x:c>
      <x:c r="S51" s="61" t="str">
        <x:v>external_transferable</x:v>
      </x:c>
      <x:c r="T51" s="61" t="str">
        <x:v>no</x:v>
      </x:c>
      <x:c r="U51" s="61" t="str">
        <x:v>https://www.linkedin.com/posts/jaindl_everyone-overcomplicates-linkedin-growth-activity-7460295282996649984-wKSn</x:v>
      </x:c>
      <x:c r="V51" s="22" t="str">
        <x:v>Exact caption and brand match.</x:v>
      </x:c>
      <x:c r="W51" s="61" t="str">
        <x:v>no</x:v>
      </x:c>
      <x:c r="X51" s="61" t="str">
        <x:v>curated_top100_workbook</x:v>
      </x:c>
      <x:c r="Y51" s="22" t="str"/>
    </x:row>
    <x:row r="52" ht="24" customHeight="1">
      <x:c r="A52" s="69" t="n">
        <x:v>51</x:v>
      </x:c>
      <x:c r="B52" s="69" t="n">
        <x:v>53</x:v>
      </x:c>
      <x:c r="C52" s="70" t="str">
        <x:v>I talk to Supply Chain Directors regularly.
One pattern keeps showing up. 
The gap between what they expected from Agentic AI and what actually happened after go-live.
Here's what surprises them most.
1. It works best on repetitive decisions, not strategic ones. 
The biggest wins came from high-volume, rule-based calls. Expedite or not. Allocate or hold. Not from strategy. 
The system handles the noise. People handle the judgment calls.
2. Deployment takes 6–9 months, not 6 weeks.
Vendors promise fast. Reality is slow. 
Change management, data cleanup, process redesign. 
None of that fits in a sprint.
3. The biggest win isn't the outcome. It's decision transparency.
Planners stopped asking "why did the system do that?" They started understanding it. 
Teams work differently once that shift happens.
4. Clean data isn't optional.
Put an agent on top of messy data and you get wrong answers delivered with confidence. 
The AI doesn't know it's wrong. That's the risk.
5. People don't lose their jobs. Their jobs change.
The repetitive part gets automated. 
The judgment part gets more visible, and more accountable.
These are patterns, not laws. I could be wrong on some of them.
Which one matches your reality?</x:v>
      </x:c>
      <x:c r="D52" s="61" t="str">
        <x:v>83fc3b1580c8c39cf68ad5cd0888c764e6cb62d2025b0bc9652503b07c9ac01c</x:v>
      </x:c>
      <x:c r="E52" s="61" t="str">
        <x:v>51.jpeg</x:v>
      </x:c>
      <x:c r="F52" s="61" t="str">
        <x:v>/Users/tigershetty/Documents/Codex/2026-06-30/ho/Codex-Linkedin-V3/infographic-setup/references/top 100/51.jpeg</x:v>
      </x:c>
      <x:c r="G52" s="61" t="str">
        <x:v>60ff2f1edf4027742582aa4ee7c9ea52de3d2fa61c7a0ddbc7719cb3ea469414</x:v>
      </x:c>
      <x:c r="H52" s="64" t="b">
        <x:v>1</x:v>
      </x:c>
      <x:c r="I52" s="61"/>
      <x:c r="J52" s="61" t="str">
        <x:v>resolved</x:v>
      </x:c>
      <x:c r="K52" s="61" t="str">
        <x:v>high</x:v>
      </x:c>
      <x:c r="L52" s="61" t="str">
        <x:v>Adam Smiarowski</x:v>
      </x:c>
      <x:c r="M52" s="61" t="str">
        <x:v>https://www.linkedin.com/in/adam-smiarowski</x:v>
      </x:c>
      <x:c r="N52" s="61" t="str">
        <x:v>https://www.linkedin.com/posts/adam-smiarowski_i-talk-to-supply-chain-directors-regularly-activity-7459540348030287872-1N9b</x:v>
      </x:c>
      <x:c r="O52" s="62"/>
      <x:c r="P52" s="61" t="str">
        <x:v>Adam Smiarowski</x:v>
      </x:c>
      <x:c r="Q52" s="61" t="str"/>
      <x:c r="R52" s="61" t="str">
        <x:v>unresolved</x:v>
      </x:c>
      <x:c r="S52" s="61" t="str">
        <x:v>direct_scm</x:v>
      </x:c>
      <x:c r="T52" s="61" t="str">
        <x:v>no</x:v>
      </x:c>
      <x:c r="U52" s="61" t="str">
        <x:v>https://www.linkedin.com/posts/adam-smiarowski_i-talk-to-supply-chain-directors-regularly-activity-7459540348030287872-1N9b</x:v>
      </x:c>
      <x:c r="V52" s="22" t="str">
        <x:v>Exact caption match.</x:v>
      </x:c>
      <x:c r="W52" s="61" t="str">
        <x:v>no</x:v>
      </x:c>
      <x:c r="X52" s="61" t="str">
        <x:v>curated_top100_workbook</x:v>
      </x:c>
      <x:c r="Y52" s="22" t="str"/>
    </x:row>
    <x:row r="53" ht="24" customHeight="1">
      <x:c r="A53" s="69" t="n">
        <x:v>52</x:v>
      </x:c>
      <x:c r="B53" s="69" t="n">
        <x:v>54</x:v>
      </x:c>
      <x:c r="C53" s="70" t="str">
        <x:v>𝐇𝐨𝐰 𝐭𝐨 𝐌𝐚𝐬𝐭𝐞𝐫 𝐏𝐫𝐨𝐜𝐮𝐫𝐞𝐦𝐞𝐧𝐭 𝐰𝐢𝐭𝐡 𝐂𝐥𝐚𝐮𝐝𝐞 𝐢𝐧 𝟕 𝐃𝐚𝐲𝐬...
We hear a lot about 𝐀𝐈 𝐢𝐧 𝐏𝐫𝐨𝐜𝐮𝐫𝐞𝐦𝐞𝐧𝐭, but very few people actually know where to start. This infographic breaks down the journey into 𝟏𝟎 𝐭𝐚𝐜𝐭𝐢𝐜𝐚𝐥 𝐦𝐨𝐯𝐞𝐬 to help you shift from "drowning in details" to "𝐥𝐞𝐚𝐝𝐢𝐧𝐠 𝐰𝐢𝐭𝐡 𝐝𝐚𝐭𝐚".
What I love most about this roadmap is the 𝐃𝐚𝐢𝐥𝐲 𝐅𝐥𝐨𝐰 concept. AI isn't just a one-off tool; it’s a "𝐝𝐢𝐠𝐢𝐭𝐚𝐥 𝐭𝐞𝐚𝐦𝐦𝐚𝐭𝐞" that helps you build a complete system.
𝐏𝐚𝐲 𝐜𝐥𝐨𝐬𝐞 𝐚𝐭𝐭𝐞𝐧𝐭𝐢𝐨𝐧 𝐭𝐨 𝐒𝐭𝐞𝐩 𝟓 𝐚𝐧𝐝 𝐒𝐭𝐞𝐩 𝟔:
• 𝐌𝐚𝐬𝐭𝐞𝐫𝐢𝐧𝐠 𝐭𝐡𝐞 𝐏𝐫𝐨𝐦𝐩𝐭: Learning the (𝐑𝐨𝐥𝐞 + 𝐓𝐚𝐬𝐤 + 𝐂𝐨𝐧𝐭𝐞𝐱𝐭) formula to get actionable results.
• 𝐓𝐡𝐞 𝐌𝐢𝐧𝐝𝐬𝐞𝐭 𝐒𝐡𝐢𝐟𝐭: Training Claude to think like a "𝐒𝐞𝐧𝐢𝐨𝐫 𝐁𝐮𝐲𝐞𝐫" on your team, not just a chatbot.
If you start applying these steps, I guarantee you'll 𝐬𝐚𝐯𝐞 𝐡𝐨𝐮𝐫𝐬 𝐨𝐟 𝐫𝐨𝐮𝐭𝐢𝐧𝐞 𝐰𝐨𝐫𝐤 every single week.
🔖 𝗦𝗮𝘃𝗲 so you can come back to these steps while setting up your own AI Hub.
♻️ 𝗥𝗲𝗽𝗼𝘀𝘁 so your team can start working faster and smarter starting today.
🔔 𝐅𝐨𝐥𝐥𝐨𝐰 Asmaa Gad &amp; Supply Chain AI Pro for more AI insights!</x:v>
      </x:c>
      <x:c r="D53" s="61" t="str">
        <x:v>596d0dd97b7e041d026b83ba92488727e45f3124d1cfa897f59dad07c800afe6</x:v>
      </x:c>
      <x:c r="E53" s="61" t="str">
        <x:v>52.jpeg</x:v>
      </x:c>
      <x:c r="F53" s="61" t="str">
        <x:v>/Users/tigershetty/Documents/Codex/2026-06-30/ho/Codex-Linkedin-V3/infographic-setup/references/top 100/52.jpeg</x:v>
      </x:c>
      <x:c r="G53" s="61" t="str">
        <x:v>a96690d14f47833ce3b97659cf765bf1e75206a45beb9146d12eab80cf6bb72f</x:v>
      </x:c>
      <x:c r="H53" s="64" t="b">
        <x:v>1</x:v>
      </x:c>
      <x:c r="I53" s="61"/>
      <x:c r="J53" s="61" t="str">
        <x:v>resolved</x:v>
      </x:c>
      <x:c r="K53" s="61" t="str">
        <x:v>high</x:v>
      </x:c>
      <x:c r="L53" s="61" t="str">
        <x:v>Asmaa Gad</x:v>
      </x:c>
      <x:c r="M53" s="61" t="str">
        <x:v>https://www.linkedin.com/in/supplychainaipro</x:v>
      </x:c>
      <x:c r="N53" s="61" t="str">
        <x:v>https://www.linkedin.com/posts/supplychainaipro_%F0%9D%90%87%F0%9D%90%A8%F0%9D%90%B0-%F0%9D%90%AD%F0%9D%90%A8-%F0%9D%90%8C%F0%9D%90%9A%F0%9D%90%AC%F0%9D%90%AD%F0%9D%90%9E%F0%9D%90%AB-%F0%9D%90%8F%F0%9D%90%AB%F0%9D%90%A8%F0%9D%90%9C%F0%9D%90%AE%F0%9D%90%AB%F0%9D%90%9E%F0%9D%90%A6-activity-7460219130940489729-40oI</x:v>
      </x:c>
      <x:c r="O53" s="62"/>
      <x:c r="P53" s="61" t="str">
        <x:v>Asmaa Gad</x:v>
      </x:c>
      <x:c r="Q53" s="61" t="str"/>
      <x:c r="R53" s="61" t="str">
        <x:v>Supply Chain AI Pro</x:v>
      </x:c>
      <x:c r="S53" s="61" t="str">
        <x:v>direct_scm</x:v>
      </x:c>
      <x:c r="T53" s="61" t="str">
        <x:v>yes</x:v>
      </x:c>
      <x:c r="U53" s="61" t="str">
        <x:v>https://www.linkedin.com/posts/supplychainaipro_%F0%9D%90%87%F0%9D%90%A8%F0%9D%90%B0-%F0%9D%90%AD%F0%9D%90%A8-%F0%9D%90%8C%F0%9D%90%9A%F0%9D%90%AC%F0%9D%90%AD%F0%9D%90%9E%F0%9D%90%AB-%F0%9D%90%8F%F0%9D%90%AB%F0%9D%90%A8%F0%9D%90%9C%F0%9D%90%AE%F0%9D%90%AB%F0%9D%90%9E%F0%9D%90%A6-activity-7460219130940489729-40oI</x:v>
      </x:c>
      <x:c r="V53" s="22" t="str">
        <x:v>Exact caption and visual match.</x:v>
      </x:c>
      <x:c r="W53" s="61" t="str">
        <x:v>no</x:v>
      </x:c>
      <x:c r="X53" s="61" t="str">
        <x:v>curated_top100_workbook</x:v>
      </x:c>
      <x:c r="Y53" s="22" t="str"/>
    </x:row>
    <x:row r="54" ht="24" customHeight="1">
      <x:c r="A54" s="69" t="n">
        <x:v>53</x:v>
      </x:c>
      <x:c r="B54" s="69" t="n">
        <x:v>55</x:v>
      </x:c>
      <x:c r="C54" s="70" t="str">
        <x:v>I built a Claude skill that creates LinkedIn carousels in minutes.
Carousels are one of the highest-performing formats on LinkedIn.
They also take the longest to produce.
This skill builds them in minutes.
Drop in an infographic, and it rebuilds it as a carousel.
Or feed it a topic and it creates one from scratch.
It asks you a few questions first - brand colours, slide count, audience, layout.
Everything comes out matched to you.
Here is how to set it up:
1. Go to claude.ai
2. Click on the + icon in the chat bar
3. Select Skills
4. Create Skill
5. Paste in the skill name, description, and instructions
6. Save
Full skill with instructions linked below:
https://lnkd.in/eqisiW-j</x:v>
      </x:c>
      <x:c r="D54" s="61" t="str">
        <x:v>467bbc5b7fb48ba148e52672f3ef52b62919102b2fca55e023bb7af1198e757d</x:v>
      </x:c>
      <x:c r="E54" s="61" t="str">
        <x:v>53.jpeg</x:v>
      </x:c>
      <x:c r="F54" s="61" t="str">
        <x:v>/Users/tigershetty/Documents/Codex/2026-06-30/ho/Codex-Linkedin-V3/infographic-setup/references/top 100/53.jpeg</x:v>
      </x:c>
      <x:c r="G54" s="61" t="str">
        <x:v>0abe62f2334c7436f62fbddcc6bf6020648869c6cbf3284328da7e03d77ee0be</x:v>
      </x:c>
      <x:c r="H54" s="64" t="b">
        <x:v>1</x:v>
      </x:c>
      <x:c r="I54" s="61"/>
      <x:c r="J54" s="61" t="str">
        <x:v>resolved</x:v>
      </x:c>
      <x:c r="K54" s="61" t="str">
        <x:v>high</x:v>
      </x:c>
      <x:c r="L54" s="61" t="str">
        <x:v>Yonathan Levy</x:v>
      </x:c>
      <x:c r="M54" s="61" t="str">
        <x:v>https://www.linkedin.com/in/yonathan-levy</x:v>
      </x:c>
      <x:c r="N54" s="61" t="str">
        <x:v>https://www.linkedin.com/posts/yonathan-levy_i-built-a-claude-skill-that-creates-linkedin-activity-7459920357614071808-NDIB</x:v>
      </x:c>
      <x:c r="O54" s="62"/>
      <x:c r="P54" s="61" t="str">
        <x:v>Yonathan Levy</x:v>
      </x:c>
      <x:c r="Q54" s="61" t="str"/>
      <x:c r="R54" s="61" t="str">
        <x:v>Yonathan Levy</x:v>
      </x:c>
      <x:c r="S54" s="61" t="str">
        <x:v>external_transferable</x:v>
      </x:c>
      <x:c r="T54" s="61" t="str">
        <x:v>no</x:v>
      </x:c>
      <x:c r="U54" s="61" t="str">
        <x:v>https://www.linkedin.com/posts/yonathan-levy_i-built-a-claude-skill-that-creates-linkedin-activity-7459920357614071808-NDIB</x:v>
      </x:c>
      <x:c r="V54" s="22" t="str">
        <x:v>Exact matching later version selected; an earlier near-duplicate exists.</x:v>
      </x:c>
      <x:c r="W54" s="61" t="str">
        <x:v>no</x:v>
      </x:c>
      <x:c r="X54" s="61" t="str">
        <x:v>curated_top100_workbook</x:v>
      </x:c>
      <x:c r="Y54" s="22" t="str"/>
    </x:row>
    <x:row r="55" ht="24" customHeight="1">
      <x:c r="A55" s="69" t="n">
        <x:v>54</x:v>
      </x:c>
      <x:c r="B55" s="69" t="n">
        <x:v>56</x:v>
      </x:c>
      <x:c r="C55" s="70" t="str">
        <x:v>"𝐖𝐡𝐲 𝐚𝐦 𝐈 𝐧𝐨𝐭 𝐠𝐞𝐭𝐭𝐢𝐧𝐠 𝐭𝐡𝐞 𝐫𝐢𝐠𝐡𝐭 𝐫𝐞𝐬𝐮𝐥𝐭𝐬 𝐟𝐫𝐨𝐦 𝐀𝐈?"
I hear this a lot. The secret isn't just in the prompt, it’s in picking the 𝐫𝐢𝐠𝐡𝐭 𝐞𝐧𝐠𝐢𝐧𝐞 for the task. Using a high-level model for a simple email is a waste of tokens, while using a basic model for complex contract analysis won't give you the depth you need.
This 𝐏𝐫𝐨𝐜𝐮𝐫𝐞𝐦𝐞𝐧𝐭 𝐃𝐞𝐜𝐢𝐬𝐢𝐨𝐧 𝐓𝐫𝐞𝐞 is your roadmap to:
• 𝐂𝐮𝐭𝐭𝐢𝐧𝐠 𝐝𝐨𝐰𝐧 analysis time significantly.
• 𝐂𝐡𝐨𝐨𝐬𝐢𝐧𝐠 the perfect Claude model (Sonnet vs. Haiku vs. Opus).
• 𝐌𝐚𝐬𝐭𝐞𝐫𝐢𝐧𝐠 "𝐂𝐨𝐰𝐨𝐫𝐤" for high-level scenario planning.
Stop guessing and start prompting with 𝐬𝐭𝐫𝐚𝐭𝐞𝐠𝐢𝐜 𝐢𝐧𝐭𝐞𝐧𝐭!
🔖 𝗦𝗮𝘃𝗲 to ensure you’re always using the right tool for the job!
♻️ 𝗥𝗲𝗽𝗼𝘀𝘁 to empower your network with the ultimate AI procurement workflow!
🔔 𝐅𝐨𝐥𝐥𝐨𝐰 Asmaa Gad &amp; Supply Chain AI Pro for more AI insights!</x:v>
      </x:c>
      <x:c r="D55" s="61" t="str">
        <x:v>2d5628da2f4db9fc93061ff043f3bb62ddbfbafd0d32f87f1b5d9427d57e8db1</x:v>
      </x:c>
      <x:c r="E55" s="61" t="str">
        <x:v>54.jpeg</x:v>
      </x:c>
      <x:c r="F55" s="61" t="str">
        <x:v>/Users/tigershetty/Documents/Codex/2026-06-30/ho/Codex-Linkedin-V3/infographic-setup/references/top 100/54.jpeg</x:v>
      </x:c>
      <x:c r="G55" s="61" t="str">
        <x:v>544566247b995af322ae9a4ed2c97c2ac9c5e75f37c643ace4299cb03aabe392</x:v>
      </x:c>
      <x:c r="H55" s="64" t="b">
        <x:v>1</x:v>
      </x:c>
      <x:c r="I55" s="61"/>
      <x:c r="J55" s="61" t="str">
        <x:v>resolved</x:v>
      </x:c>
      <x:c r="K55" s="61" t="str">
        <x:v>high</x:v>
      </x:c>
      <x:c r="L55" s="61" t="str">
        <x:v>Asmaa Gad</x:v>
      </x:c>
      <x:c r="M55" s="61" t="str">
        <x:v>https://www.linkedin.com/in/supplychainaipro</x:v>
      </x:c>
      <x:c r="N55" s="61" t="str">
        <x:v>https://www.linkedin.com/posts/supplychainaipro_%F0%9D%90%96%F0%9D%90%A1%F0%9D%90%B2-%F0%9D%90%9A%F0%9D%90%A6-%F0%9D%90%88-%F0%9D%90%A7%F0%9D%90%A8%F0%9D%90%AD-%F0%9D%90%A0%F0%9D%90%9E%F0%9D%90%AD%F0%9D%90%AD%F0%9D%90%A2%F0%9D%90%A7%F0%9D%90%A0-%F0%9D%90%AD%F0%9D%90%A1%F0%9D%90%9E-activity-7459856232657620993-inro</x:v>
      </x:c>
      <x:c r="O55" s="62"/>
      <x:c r="P55" s="61" t="str">
        <x:v>Asmaa Gad</x:v>
      </x:c>
      <x:c r="Q55" s="61" t="str"/>
      <x:c r="R55" s="61" t="str">
        <x:v>Supply Chain AI Pro</x:v>
      </x:c>
      <x:c r="S55" s="61" t="str">
        <x:v>direct_scm</x:v>
      </x:c>
      <x:c r="T55" s="61" t="str">
        <x:v>yes</x:v>
      </x:c>
      <x:c r="U55" s="61" t="str">
        <x:v>https://www.linkedin.com/posts/supplychainaipro_%F0%9D%90%96%F0%9D%90%A1%F0%9D%90%B2-%F0%9D%90%9A%F0%9D%90%A6-%F0%9D%90%88-%F0%9D%90%A7%F0%9D%90%A8%F0%9D%90%AD-%F0%9D%90%A0%F0%9D%90%9E%F0%9D%90%AD%F0%9D%90%AD%F0%9D%90%A2%F0%9D%90%A7%F0%9D%90%A0-%F0%9D%90%AD%F0%9D%90%A1%F0%9D%90%9E-activity-7459856232657620993-inro</x:v>
      </x:c>
      <x:c r="V55" s="22" t="str">
        <x:v>Exact caption and visual match.</x:v>
      </x:c>
      <x:c r="W55" s="61" t="str">
        <x:v>no</x:v>
      </x:c>
      <x:c r="X55" s="61" t="str">
        <x:v>curated_top100_workbook</x:v>
      </x:c>
      <x:c r="Y55" s="22" t="str"/>
    </x:row>
    <x:row r="56" ht="24" customHeight="1">
      <x:c r="A56" s="69" t="n">
        <x:v>55</x:v>
      </x:c>
      <x:c r="B56" s="69" t="n">
        <x:v>57</x:v>
      </x:c>
      <x:c r="C56" s="70" t="str">
        <x:v>LinkedIn has 1,150,000,000 accounts.
Here are 56 LinkedIn creators who will teach you more skills than a 4-year degree:
AI
1. Ruben Hassid: Explains AI in simple, easy steps.
2. Chip Huyen: Teaches AI through storytelling.
3. Anisha Jain Shares ways to create content (+AI).
4. Greg Isenberg: Builds internet-first companies.
5. Axelle Malek: Explains AI tools in a clear way.
6. Olivia Moore: Covers AI from the VC side.
7. Wyndo: Shares practical, no-fluff AI systems. 
Content:
8. Jake Ward: Shares lessons from scaling SEO.
9. AJ Eckstein 🧩: Connects creators with brands.
10. Tara: Writes on writing, storytelling, &amp; books.
11. Diandra: Turn ideas into content machines.
12. Justin: Making people LinkedIn niche famous
13. Mischa: Teach you how to write on LinkedIn.
14. Josh: Tests what works and shares it all.
CEO: 
15. Grant Lee: Building Gamma to make AI slides.
16. Guillermo: Building the future of web + AI.
17. Tanay Kothari: Building Wispr, voice-to-text AI.
18. Eric: Coaches CEOs to peak performance. 
19. Aravind Srinivas: CEO of Perplexity.
20. Satya Nadella: CEO of Microsoft.
21. Anton Osika: CEO of Lovable, last software.
Video: 
22. Simon Meyer: Creates cinematic ads.
23. David Blagojevic: How to make hooking videos.
24. Matthieu: Creative Lead, Google DeepMind.
25. PJ Accetturo: Makes viral AI ads.
26. Sebastien: Helps creators master AI video tools.
27. Alex: Produces Hollywood-level AI content.
28. Dave: Brings AI into film, TV, and ads.
Design:
29. Felix: Shares how AI changes modern design.
30. Tatiana: Posts Midjourney tips &amp; prompts.
31. Drew Brucker: Talks AI design + Midjourney.
32. Dogan: Shows how to work smarter with AI.
33. Nick: Teaches how to design great content.
34. Daniel: Shows how to design for Linkedin.
35. Ross: Posts daily tips for mastering AI.
Coaching/Mindset:
36: Maria Zhanette: Curates who's worth following.
37. Dan Go: Transforms entrepreneur bodies.
38. Colby Kultgen: Posts daily 1% better tips.
39. Reno Perry: Helps land $200K+ dream jobs.
40. Ben Meer: Shares systems for life optimization.
(Rest of the creators are listed in the top comment)</x:v>
      </x:c>
      <x:c r="D56" s="61" t="str">
        <x:v>578f7c47037faf1e649425399dcffc4a77d4caa0b41f9514934bb44aec474dff</x:v>
      </x:c>
      <x:c r="E56" s="61" t="str">
        <x:v>55.jpeg</x:v>
      </x:c>
      <x:c r="F56" s="61" t="str">
        <x:v>/Users/tigershetty/Documents/Codex/2026-06-30/ho/Codex-Linkedin-V3/infographic-setup/references/top 100/55.jpeg</x:v>
      </x:c>
      <x:c r="G56" s="61" t="str">
        <x:v>03a4f8e54a4ce088696f46e7c82c20f599e0df2d0a37c4ea5494d2d08426fead</x:v>
      </x:c>
      <x:c r="H56" s="64" t="b">
        <x:v>1</x:v>
      </x:c>
      <x:c r="I56" s="61"/>
      <x:c r="J56" s="61" t="str">
        <x:v>resolved</x:v>
      </x:c>
      <x:c r="K56" s="61" t="str">
        <x:v>high</x:v>
      </x:c>
      <x:c r="L56" s="61" t="str">
        <x:v>Anisha Jain</x:v>
      </x:c>
      <x:c r="M56" s="61" t="str">
        <x:v>https://www.linkedin.com/in/theanishajain</x:v>
      </x:c>
      <x:c r="N56" s="61" t="str">
        <x:v>https://www.linkedin.com/posts/theanishajain_linkedin-has-1150000000-accounts-here-activity-7382709536224313344-OdFE</x:v>
      </x:c>
      <x:c r="O56" s="62"/>
      <x:c r="P56" s="61" t="str">
        <x:v>Anisha Jain</x:v>
      </x:c>
      <x:c r="Q56" s="61" t="str"/>
      <x:c r="R56" s="61" t="str">
        <x:v>Anisha Jain</x:v>
      </x:c>
      <x:c r="S56" s="61" t="str">
        <x:v>external_transferable</x:v>
      </x:c>
      <x:c r="T56" s="61" t="str">
        <x:v>no</x:v>
      </x:c>
      <x:c r="U56" s="61" t="str">
        <x:v>https://www.linkedin.com/posts/theanishajain_linkedin-has-1150000000-accounts-here-activity-7382709536224313344-OdFE</x:v>
      </x:c>
      <x:c r="V56" s="22" t="str">
        <x:v>People pictured are subjects, not visual owners.</x:v>
      </x:c>
      <x:c r="W56" s="61" t="str">
        <x:v>no</x:v>
      </x:c>
      <x:c r="X56" s="61" t="str">
        <x:v>curated_top100_workbook</x:v>
      </x:c>
      <x:c r="Y56" s="22" t="str"/>
    </x:row>
    <x:row r="57" ht="24" customHeight="1">
      <x:c r="A57" s="69" t="n">
        <x:v>56</x:v>
      </x:c>
      <x:c r="B57" s="69" t="n">
        <x:v>58</x:v>
      </x:c>
      <x:c r="C57" s="70" t="str">
        <x:v>How to shift procurement to strategic. Free Guide 🎁 
Perception is built on evidence. But the evidence the business sees every day is tactical.
Let's look at the transformation step by step:
1️⃣ Signs the business sees you as tactical
↳ They only involve you AFTER a supplier has been chosen 
↳ Stakeholders treat procurement as a box-ticking exercise 
↳ You're only measured on cost savings 
↳ You spend more time on POs than influencing decisions 
↳ Nobody invites you to early planning conversations 
↳ Your reports go to Finance, not the boardroom 
↳ The business regularly goes around procurement entirely
If 3+ are true, you're seen as purchasing. Not procurement.
2️⃣ The 5 shifts to close the gap
(i) From Price to Value 
↳ Stop leading with "we got 10% off" 
↳ Start showing total cost of ownership, risk reduction, supplier reliability
(ii) From Reactive to Proactive 
↳ Stop waiting to be briefed after decisions are made 
↳ Start building relationships that get you upstream
(iii) From Process Enforcer to Business Partner 
↳ Stop saying "you need to follow the procurement process" 
↳ Start saying "let's figure out how to get you the outcome you need"
(iv) From Tactical KPIs to Strategic Metrics 
↳ Stop reporting PO cycle times and savings vs budget 
↳ Start reporting supplier risk, value delivered, market benchmarks
(v) From Departmental to Cross-Functional 
↳ Stop talking only to direct budget holders 
↳ Start building relationships with Finance, Legal, Operations, and the C-suite
3️⃣ Change how you speak
Instead of: "You should have involved us earlier" ❌ 
Try: "At what point did the supplier conversation start?" ✅ 
Instead of: "That's not the procurement process" ❌ 
Try: "Let's see how we can make this work safely" ✅ 
Instead of: "We need 3 quotes" ❌ 
Try: "Here's what the market looks like. Let me show you the options" ✅ 
Instead of: "I can't approve that supplier" ❌ 
Try: "There are some risks here. Let's talk through them" ✅ 
Instead of: "We saved £200K this quarter" ❌ 
Try: "We reduced cost AND improved delivery reliability by 15%" ✅ 
4️⃣ The perception checklist
↳ Do stakeholders involve you before supplier decisions? 
↳ Do you have relationships with senior leaders beyond direct contacts? 
↳ Can you articulate procurement's value beyond savings? 
↳ Do you bring market intelligence, not just process? 
↳ Does the business know what it costs to bypass procurement? 
↳ Are your KPIs linked to business strategy? 
↳ Does procurement have a voice in supplier innovation?
The gap isn't about capability. It's about visibility, language &amp; how procurement shows up.
♻️ Repost if this could help your network. 
Follow me Tom Mills for daily procurement insights. 
Join 24,000 procurement professionals getting 1% better at procurement every week with the number 1 independent procurement newsletter. You'll get all my best cheat sheets free the moment you sign up too👉 https://procurebites.com/</x:v>
      </x:c>
      <x:c r="D57" s="61" t="str">
        <x:v>65ab39ddb32747f97751e81700add2acea8704a722ab789a806e63ea30922c91</x:v>
      </x:c>
      <x:c r="E57" s="61" t="str">
        <x:v>56.jpeg</x:v>
      </x:c>
      <x:c r="F57" s="61" t="str">
        <x:v>/Users/tigershetty/Documents/Codex/2026-06-30/ho/Codex-Linkedin-V3/infographic-setup/references/top 100/56.jpeg</x:v>
      </x:c>
      <x:c r="G57" s="61" t="str">
        <x:v>10f2f9f651142da9e41918368a7819f3874475415d4d6fd1c970dbde6290d3a6</x:v>
      </x:c>
      <x:c r="H57" s="64" t="b">
        <x:v>1</x:v>
      </x:c>
      <x:c r="I57" s="61"/>
      <x:c r="J57" s="61" t="str">
        <x:v>resolved</x:v>
      </x:c>
      <x:c r="K57" s="61" t="str">
        <x:v>high</x:v>
      </x:c>
      <x:c r="L57" s="61" t="str">
        <x:v>Tom Mills</x:v>
      </x:c>
      <x:c r="M57" s="61" t="str">
        <x:v>https://www.linkedin.com/in/tom-mills-procurement</x:v>
      </x:c>
      <x:c r="N57" s="61" t="str">
        <x:v>https://www.linkedin.com/posts/tom-mills-procurement_how-to-shift-procurement-to-strategic-free-activity-7459888401522028544-dKrm</x:v>
      </x:c>
      <x:c r="O57" s="62"/>
      <x:c r="P57" s="61" t="str">
        <x:v>Tom Mills</x:v>
      </x:c>
      <x:c r="Q57" s="61" t="str"/>
      <x:c r="R57" s="61" t="str">
        <x:v>Procure Bites / Tom Mills</x:v>
      </x:c>
      <x:c r="S57" s="61" t="str">
        <x:v>direct_scm</x:v>
      </x:c>
      <x:c r="T57" s="61" t="str">
        <x:v>yes</x:v>
      </x:c>
      <x:c r="U57" s="61" t="str">
        <x:v>https://www.linkedin.com/posts/tom-mills-procurement_how-to-shift-procurement-to-strategic-free-activity-7459888401522028544-dKrm</x:v>
      </x:c>
      <x:c r="V57" s="22" t="str">
        <x:v>Exact caption and visual match.</x:v>
      </x:c>
      <x:c r="W57" s="61" t="str">
        <x:v>no</x:v>
      </x:c>
      <x:c r="X57" s="61" t="str">
        <x:v>curated_top100_workbook</x:v>
      </x:c>
      <x:c r="Y57" s="22" t="str"/>
    </x:row>
    <x:row r="58" ht="24" customHeight="1">
      <x:c r="A58" s="69" t="n">
        <x:v>57</x:v>
      </x:c>
      <x:c r="B58" s="69" t="n">
        <x:v>59</x:v>
      </x:c>
      <x:c r="C58" s="70" t="str">
        <x:v>I've posted 784 times on LinkedIn.
(I made every mistake in the book)
I didn't gain any traction for months. I had no real content pillar when I started. I posted text-only posts for the first month. I didn't use carousels, didn't use infographics. I posted and ghosted.
It was a mess.
As a result, I didn't grow.
I eventually caught on and grew to 68k followers.
Here are 18 LinkedIn laws that will help you grow faster than I did 👇
𝗖𝗮𝗿𝗼𝘂𝘀𝗲𝗹𝘀
✅ DO: Create storytelling carousels
❌ DON'T: Default to generic "6 tips" listicles
𝗛𝗼𝗼𝗸𝘀
✅ DO: Use "I" statement hooks
❌ DON'T: "You" statement hooks
𝗚𝗿𝗼𝘄𝘁𝗵
✅ DO: Post 3 to 5 times per week min
❌ DON'T: Post once a week, it's not enough
𝗩𝗶𝗱𝗲𝗼
✅ DO: Use video to build trust
❌ DON'T: Use video to gain followers
𝗧𝗼𝗽𝗶𝗰𝘀
✅ DO: Post deep how-to in your niche
❌ DON'T: Post basic listicle-style content
𝗤𝘂𝗼𝘁𝗲𝘀
✅ DO: Self-written pen and paper style notes
❌ DON'T: Billboard quote are stale
𝗦𝘂𝗯𝘀𝗰𝗿𝗶𝗯𝗲𝗿𝘀
✅ DO: Link to your newsletter in Featured
❌ DON'T: Link to your newsletter in each post
𝗣𝗼𝘀𝘁 𝗟𝗲𝗻𝗴𝘁𝗵
✅ DO: Around 1000 characters per post
❌ DON'T: Go too short or too long
𝗟𝗲𝘃𝗲𝗹
✅ DO: Write in a 5th to 8th grade reading level
❌ DON'T: Use jargon or big words
𝗣𝗿𝗼𝗳𝗶𝗹𝗲
✅ DO: Optimize your profile for your reader
❌ DON'T: Use your profile as a resume
𝗖𝗼𝗺𝗺𝗲𝗻𝘁𝘀
✅ DO: Comment on others and reply
❌ DON'T: Post "great post" (no value)
𝗟𝗶𝗻𝗸𝘀
✅ DO: You can include a few links (not more)
❌ DON'T: Don't focus only on conversion
𝗤𝘂𝗲𝘀𝘁𝗶𝗼𝗻𝘀
✅ DO: End your post with a question
❌ DON'T: Use questions in your hook
𝗦𝗲𝗹𝗳𝗶𝗲𝘀
✅ DO: Selfie with a relevant story
❌ DON'T: Insta-style thirsty selfie
𝗛𝗮𝘀𝗵𝘁𝗮𝗴𝘀
✅ DO: Avoid or 1 to 2 tops
❌ DON'T: Add a block of hashtags
𝗧𝗶𝗺𝗶𝗻𝗴
✅ DO: Post around 8am your local time
❌ DON'T: Just post randomly each day
𝗦𝗵𝗲𝗹𝗳 𝗟𝗶𝗳𝗲
✅ DO: Post can stay visible for many days
❌ DON'T: Just reply in the first hours
𝗘𝗺𝗼𝗷𝗶𝘀
✅ DO: One or two are ok in each post
❌ DON'T: Go crazy or add an emoji per line
I wish I had this list when I started.
Would have saved me 6 months of spinning my wheels.
Save this. Share it with someone just starting out.
P.S. Are you breaking the law on LinkedIn?</x:v>
      </x:c>
      <x:c r="D58" s="61" t="str">
        <x:v>04fd44354c6f63e50d0d0475eb450d338211ee3ae77a837f116e039b168595f0</x:v>
      </x:c>
      <x:c r="E58" s="61" t="str">
        <x:v>57.jpeg</x:v>
      </x:c>
      <x:c r="F58" s="61" t="str">
        <x:v>/Users/tigershetty/Documents/Codex/2026-06-30/ho/Codex-Linkedin-V3/infographic-setup/references/top 100/57.jpeg</x:v>
      </x:c>
      <x:c r="G58" s="61" t="str">
        <x:v>8e5775e78b746de83d46bbf93ad0413f909600d8f10bddc92a9f2b7c0d7c365c</x:v>
      </x:c>
      <x:c r="H58" s="64" t="b">
        <x:v>1</x:v>
      </x:c>
      <x:c r="I58" s="61"/>
      <x:c r="J58" s="61" t="str">
        <x:v>resolved</x:v>
      </x:c>
      <x:c r="K58" s="61" t="str">
        <x:v>high</x:v>
      </x:c>
      <x:c r="L58" s="61" t="str">
        <x:v>MJ Jaindl</x:v>
      </x:c>
      <x:c r="M58" s="61" t="str">
        <x:v>https://www.linkedin.com/in/jaindl</x:v>
      </x:c>
      <x:c r="N58" s="61" t="str">
        <x:v>https://www.linkedin.com/posts/jaindl_ive-posted-784-times-on-linkedin-i-made-activity-7459932907940536321-tmR7</x:v>
      </x:c>
      <x:c r="O58" s="62"/>
      <x:c r="P58" s="61" t="str">
        <x:v>MJ Jaindl</x:v>
      </x:c>
      <x:c r="Q58" s="61" t="str"/>
      <x:c r="R58" s="61" t="str">
        <x:v>MJ Jaindl</x:v>
      </x:c>
      <x:c r="S58" s="61" t="str">
        <x:v>external_transferable</x:v>
      </x:c>
      <x:c r="T58" s="61" t="str">
        <x:v>no</x:v>
      </x:c>
      <x:c r="U58" s="61" t="str">
        <x:v>https://www.linkedin.com/posts/jaindl_ive-posted-784-times-on-linkedin-i-made-activity-7459932907940536321-tmR7</x:v>
      </x:c>
      <x:c r="V58" s="22" t="str">
        <x:v>Exact caption and visual match.</x:v>
      </x:c>
      <x:c r="W58" s="61" t="str">
        <x:v>no</x:v>
      </x:c>
      <x:c r="X58" s="61" t="str">
        <x:v>curated_top100_workbook</x:v>
      </x:c>
      <x:c r="Y58" s="22" t="str"/>
    </x:row>
    <x:row r="59" ht="24" customHeight="1">
      <x:c r="A59" s="69" t="n">
        <x:v>58</x:v>
      </x:c>
      <x:c r="B59" s="69" t="n">
        <x:v>60</x:v>
      </x:c>
      <x:c r="C59" s="70" t="str">
        <x:v>I vibe-coded a tool that got me 250k impressions the next day.
Here's exactly how it works - and the prompt I used to build it.
I used to lose 45 minutes every morning scrolling Reddit for content ideas.
I asked Perplexity Computer to build me a tool that would do it for me.
2 evenings. 
5 conversations. 
0 code I wrote myself.
Perplexity called it Reddit Radar:
→ Scans 20 tech subreddits at 6am
→ Ranks trending visuals by potential
→ Writes 5 hook angles per saved visual
→ Syncs directly into my Notion pipeline
Now my morning routine is 3 minutes with a coffee. Tap through the ranked posts, save what I like, choose from the best hooks.
The next morning I posted one. It did 250,000 impressions and 500+ engagements.
What's wild: I never picked the stack.
Perplexity Computer chose Claude Sonnet for the hook gen, React + Tailwind for the frontend, Express + SQLite for the backend, Notion API, Gmail API, a cron job, and Python to parse Reddit RSS. 
All by itself.
When the save function broke, I screenshotted the error and sent it back. It diagnosed the issue, refactored the flow, and deployed the fix - all in one message.
You don't need a content team any more. You need content systems.
Full prompt + live tool + deep dive article in the comments 👇 📌 Here’s the exact prompt I used to build Reddit Radar: 
→ https://www.perplexity.ai/influencers/strategy-breakdowns?utm_source=Influencer&amp;utm_campaign=strategybreakdowns&amp;utm_adset=Newsletter&amp;utm_content=Computer&amp;wpsrc=Influencer&amp;wpcn=strategybreakdowns&amp;wpscn=Newsletter&amp;wpcrn=Computer
Test Reddit Radar yourself: 
→ https://reddit-radar.pplx.app/
Full breakdown: 
→ https://strategybreakdowns.com/p/perplexity-computer</x:v>
      </x:c>
      <x:c r="D59" s="61" t="str">
        <x:v>da7df4c198641768a7266621d97b532a416300af4da914329272a62cada53033</x:v>
      </x:c>
      <x:c r="E59" s="61" t="str">
        <x:v>58.gif</x:v>
      </x:c>
      <x:c r="F59" s="61" t="str">
        <x:v>/Users/tigershetty/Documents/Codex/2026-06-30/ho/Codex-Linkedin-V3/infographic-setup/references/top 100/58.gif</x:v>
      </x:c>
      <x:c r="G59" s="61" t="str">
        <x:v>7a77c7ec13298cd0127620b21ba85c662bb4c868ea17d4271e883792d5785f7c</x:v>
      </x:c>
      <x:c r="H59" s="64" t="b">
        <x:v>1</x:v>
      </x:c>
      <x:c r="I59" s="61"/>
      <x:c r="J59" s="61" t="str">
        <x:v>resolved</x:v>
      </x:c>
      <x:c r="K59" s="61" t="str">
        <x:v>high</x:v>
      </x:c>
      <x:c r="L59" s="61" t="str">
        <x:v>Tom Alder</x:v>
      </x:c>
      <x:c r="M59" s="61" t="str">
        <x:v>https://www.linkedin.com/in/tom-alder</x:v>
      </x:c>
      <x:c r="N59" s="61" t="str">
        <x:v>https://www.linkedin.com/posts/tom-alder_i-vibe-coded-a-tool-that-got-me-250k-impressions-activity-7459578395459227648-U54P</x:v>
      </x:c>
      <x:c r="O59" s="62"/>
      <x:c r="P59" s="61" t="str">
        <x:v>Tom Alder</x:v>
      </x:c>
      <x:c r="Q59" s="61" t="str"/>
      <x:c r="R59" s="61" t="str">
        <x:v>Tom Alder</x:v>
      </x:c>
      <x:c r="S59" s="61" t="str">
        <x:v>implementation_adjacent</x:v>
      </x:c>
      <x:c r="T59" s="61" t="str">
        <x:v>no</x:v>
      </x:c>
      <x:c r="U59" s="61" t="str">
        <x:v>https://www.linkedin.com/posts/tom-alder_i-vibe-coded-a-tool-that-got-me-250k-impressions-activity-7459578395459227648-U54P</x:v>
      </x:c>
      <x:c r="V59" s="22" t="str">
        <x:v>GIF contains the author's own analytics/tool screenshots.</x:v>
      </x:c>
      <x:c r="W59" s="61" t="str">
        <x:v>no</x:v>
      </x:c>
      <x:c r="X59" s="61" t="str">
        <x:v>curated_top100_workbook</x:v>
      </x:c>
      <x:c r="Y59" s="22" t="str"/>
    </x:row>
    <x:row r="60" ht="24" customHeight="1">
      <x:c r="A60" s="69" t="n">
        <x:v>59</x:v>
      </x:c>
      <x:c r="B60" s="69" t="n">
        <x:v>61</x:v>
      </x:c>
      <x:c r="C60" s="70" t="str">
        <x:v>It's time we move on from Ss=zσ√(L+R) to something better!
The equation relies on a whole set of wrong assumptions and doesn't work in practice. 
What can we do instead? 
-&gt; Use simulations to optimize kRMSE,
-&gt; Use simulations to optimize a forecast coverage
-&gt; Use probabilistic forecasts.
(That's what the winning teams of VN2 did)
This article was reviewed by 15 people, who shared 89 comments and remarks on the article! 
They really helped me to make a difference and improved the article way beyond my initial ideas :)
PS: The article is 100% human-made. 
The only thing that's AI-generated is the picture you see.</x:v>
      </x:c>
      <x:c r="D60" s="61" t="str">
        <x:v>e721e5f6f42cf808bde3a868db25a6ce37c723ea8e37a1e59a9b617723b0d749</x:v>
      </x:c>
      <x:c r="E60" s="61" t="str">
        <x:v>59.png</x:v>
      </x:c>
      <x:c r="F60" s="61" t="str">
        <x:v>/Users/tigershetty/Documents/Codex/2026-06-30/ho/Codex-Linkedin-V3/infographic-setup/references/top 100/59.png</x:v>
      </x:c>
      <x:c r="G60" s="61" t="str">
        <x:v>dd6692d23db7b7526a156a47dee3d3967e5850d828ffda579b2c7697e969a151</x:v>
      </x:c>
      <x:c r="H60" s="64" t="b">
        <x:v>1</x:v>
      </x:c>
      <x:c r="I60" s="61"/>
      <x:c r="J60" s="61" t="str">
        <x:v>resolved</x:v>
      </x:c>
      <x:c r="K60" s="61" t="str">
        <x:v>high</x:v>
      </x:c>
      <x:c r="L60" s="61" t="str">
        <x:v>Nicolas Vandeput</x:v>
      </x:c>
      <x:c r="M60" s="61" t="str">
        <x:v>https://www.linkedin.com/in/vandeputnicolas</x:v>
      </x:c>
      <x:c r="N60" s="61" t="str">
        <x:v>https://www.linkedin.com/posts/vandeputnicolas_outgrowing-the-safety-stockformula-activity-7459573119217782785-u2uv</x:v>
      </x:c>
      <x:c r="O60" s="62"/>
      <x:c r="P60" s="61" t="str">
        <x:v>Nicolas Vandeput</x:v>
      </x:c>
      <x:c r="Q60" s="61" t="str"/>
      <x:c r="R60" s="61" t="str">
        <x:v>AI-generated image disclosed by author</x:v>
      </x:c>
      <x:c r="S60" s="61" t="str">
        <x:v>direct_scm</x:v>
      </x:c>
      <x:c r="T60" s="61" t="str">
        <x:v>no</x:v>
      </x:c>
      <x:c r="U60" s="61" t="str">
        <x:v>https://www.linkedin.com/posts/vandeputnicolas_outgrowing-the-safety-stockformula-activity-7459573119217782785-u2uv</x:v>
      </x:c>
      <x:c r="V60" s="22" t="str">
        <x:v>Exact caption match and visual disclosure.</x:v>
      </x:c>
      <x:c r="W60" s="61" t="str">
        <x:v>no</x:v>
      </x:c>
      <x:c r="X60" s="61" t="str">
        <x:v>curated_top100_workbook</x:v>
      </x:c>
      <x:c r="Y60" s="22" t="str"/>
    </x:row>
    <x:row r="61" ht="24" customHeight="1">
      <x:c r="A61" s="69" t="n">
        <x:v>60</x:v>
      </x:c>
      <x:c r="B61" s="69" t="n">
        <x:v>62</x:v>
      </x:c>
      <x:c r="C61" s="70" t="str">
        <x:v>I just created a Claude Skills pack to help writers land more high-paying clients.
Why?
Because most ghostwriters quickly master the Art of Ghostwriting...
But they are terrible at the Business side.
Which means they're pretty bad at selling:
• They don't know what to say in DMs
• They wing it on sales calls
• They never follow up
And they leave money on the table with existing clients.
Because it doesn't matter how good you are as a writer—if you can't SELL, you can't make money with your writing.
So I built 7 AI Skills you can install inside Claude to handle every stage of the sales process for you.
(These are based on the frameworks I used to generate over $3,500,000 in sales as a ghostwriter.)
It includes:
• A DM Writer that generates outreach messages for every stage of the prospect conversation
• A Free Consulting Script for high-quality outreach (which gets prospects scrambling to book a call)
• A 9-step Sales Call Script tailored to your offer
• A Sales Call Analyzer that pinpoints missed opportunities and helps you pinpoint objections
• A Follow-Up Message Generator so you never let a lead go cold
• An Upsell Engine that finds new revenue inside existing clients
• And a Referral DM Generator so asking for referrals never feels awkward
Want access?
Comment "sales"
I'll send you the link ASAP.
And if we're not connected, send me a connection request (so I can DM you).</x:v>
      </x:c>
      <x:c r="D61" s="61" t="str">
        <x:v>b40e9b03f3cdd8545c942fc2d7cef13a3e75f71cdce02e3b52c1197064f27911</x:v>
      </x:c>
      <x:c r="E61" s="61" t="str">
        <x:v>60.jpeg</x:v>
      </x:c>
      <x:c r="F61" s="61" t="str">
        <x:v>/Users/tigershetty/Documents/Codex/2026-06-30/ho/Codex-Linkedin-V3/infographic-setup/references/top 100/60.jpeg</x:v>
      </x:c>
      <x:c r="G61" s="61" t="str">
        <x:v>aa339111ca1e0cb0368e1bfeff17e8dead9458f95429ddf73cae82eeb95af771</x:v>
      </x:c>
      <x:c r="H61" s="64" t="b">
        <x:v>1</x:v>
      </x:c>
      <x:c r="I61" s="61"/>
      <x:c r="J61" s="61" t="str">
        <x:v>resolved</x:v>
      </x:c>
      <x:c r="K61" s="61" t="str">
        <x:v>high</x:v>
      </x:c>
      <x:c r="L61" s="61" t="str">
        <x:v>Nicolas Cole</x:v>
      </x:c>
      <x:c r="M61" s="61" t="str">
        <x:v>https://www.linkedin.com/in/nicolascole</x:v>
      </x:c>
      <x:c r="N61" s="61" t="str">
        <x:v>https://www.linkedin.com/posts/nicolascole_i-just-created-a-claude-skills-pack-to-help-activity-7455232999509430273-6Et5</x:v>
      </x:c>
      <x:c r="O61" s="62"/>
      <x:c r="P61" s="61" t="str">
        <x:v>Dickie Bush and Nicolas Cole</x:v>
      </x:c>
      <x:c r="Q61" s="61" t="str"/>
      <x:c r="R61" s="61" t="str">
        <x:v>Premium Ghostwriting Academy</x:v>
      </x:c>
      <x:c r="S61" s="61" t="str">
        <x:v>external_transferable</x:v>
      </x:c>
      <x:c r="T61" s="61" t="str">
        <x:v>no</x:v>
      </x:c>
      <x:c r="U61" s="61" t="str">
        <x:v>https://www.linkedin.com/posts/nicolascole_i-just-created-a-claude-skills-pack-to-help-activity-7455232999509430273-6Et5</x:v>
      </x:c>
      <x:c r="V61" s="22" t="str">
        <x:v>Shared product lineage retained separately from posting author.</x:v>
      </x:c>
      <x:c r="W61" s="61" t="str">
        <x:v>no</x:v>
      </x:c>
      <x:c r="X61" s="61" t="str">
        <x:v>curated_top100_workbook</x:v>
      </x:c>
      <x:c r="Y61" s="22" t="str"/>
    </x:row>
    <x:row r="62" ht="24" customHeight="1">
      <x:c r="A62" s="69" t="n">
        <x:v>61</x:v>
      </x:c>
      <x:c r="B62" s="69" t="n">
        <x:v>63</x:v>
      </x:c>
      <x:c r="C62" s="70" t="str">
        <x:v>nstead of another YouTube rabbit hole tonight.
Take these 11 courses to master Claude (for free):
→ Level 1 - 20 mins: The basics.
Claude certificates: claude101.com
Claude For Dummies: https://lnkd.in/gTKxkNrY
→ Level 2 - 55 mins: Real workflows. 
Claude Cowork: claude-co.work
Claude for teams: how-claude.team
Cowork + Projects: https://lnkd.in/d8BHqTvV
Claude for slides: how-to-gamma.ai
Claude Skills: claude-skills.free
→ Level 3 - 45 mins: The pro moves.
Claude Code: claudecode.free
Stop hitting Claude's limits: https://lnkd.in/gzzhvrY6
Upload yourself in Claude: https://lnkd.in/dgDDpgBv
Stop prompting Claude: https://lnkd.in/e47NxW22
Pro tip: Don't binge it. Do one level per sitting. 
Actually apply each guide before moving to the next</x:v>
      </x:c>
      <x:c r="D62" s="61" t="str">
        <x:v>e3e81e38b256dc39384ea2edc8735dfbd06a0fa9206a2f609f93b1b3408639ef</x:v>
      </x:c>
      <x:c r="E62" s="61" t="str">
        <x:v>61.jpeg</x:v>
      </x:c>
      <x:c r="F62" s="61" t="str">
        <x:v>/Users/tigershetty/Documents/Codex/2026-06-30/ho/Codex-Linkedin-V3/infographic-setup/references/top 100/61.jpeg</x:v>
      </x:c>
      <x:c r="G62" s="61" t="str">
        <x:v>8bbac61fbcb643a152dea089ecbfd3fdcc9bac55f52e73c03633c34ad4268d34</x:v>
      </x:c>
      <x:c r="H62" s="64" t="b">
        <x:v>1</x:v>
      </x:c>
      <x:c r="I62" s="61"/>
      <x:c r="J62" s="61" t="str">
        <x:v>resolved</x:v>
      </x:c>
      <x:c r="K62" s="61" t="str">
        <x:v>high</x:v>
      </x:c>
      <x:c r="L62" s="61" t="str">
        <x:v>Ruben Hassid</x:v>
      </x:c>
      <x:c r="M62" s="61" t="str">
        <x:v>https://www.linkedin.com/in/ruben-hassid</x:v>
      </x:c>
      <x:c r="N62" s="61" t="str">
        <x:v>https://www.linkedin.com/posts/ruben-hassid_instead-of-another-youtube-rabbit-hole-tonight-activity-7471426142412046336-sG4O</x:v>
      </x:c>
      <x:c r="O62" s="62"/>
      <x:c r="P62" s="61" t="str">
        <x:v>Ruben Hassid</x:v>
      </x:c>
      <x:c r="Q62" s="61" t="str"/>
      <x:c r="R62" s="61" t="str">
        <x:v>How to AI / Ruben Hassid</x:v>
      </x:c>
      <x:c r="S62" s="61" t="str">
        <x:v>implementation_adjacent</x:v>
      </x:c>
      <x:c r="T62" s="61" t="str">
        <x:v>no</x:v>
      </x:c>
      <x:c r="U62" s="61" t="str">
        <x:v>https://www.linkedin.com/posts/ruben-hassid_instead-of-another-youtube-rabbit-hole-tonight-activity-7471426142412046336-sG4O</x:v>
      </x:c>
      <x:c r="V62" s="22" t="str">
        <x:v>Exact caption and visual match.</x:v>
      </x:c>
      <x:c r="W62" s="61" t="str">
        <x:v>no</x:v>
      </x:c>
      <x:c r="X62" s="61" t="str">
        <x:v>curated_top100_workbook</x:v>
      </x:c>
      <x:c r="Y62" s="22" t="str"/>
    </x:row>
    <x:row r="63" ht="24" customHeight="1">
      <x:c r="A63" s="69" t="n">
        <x:v>62</x:v>
      </x:c>
      <x:c r="B63" s="69" t="n">
        <x:v>64</x:v>
      </x:c>
      <x:c r="C63" s="70" t="str">
        <x:v>Last week, I spent 7+ hours creating a Claude Skill library to help you attract writing clients on LinkedIn.
Today, I'm giving you the entire thing for free:
This is the same content system I've trained 1,800+ ghostwriters on—and the one I use to pull thousands of inbound leads to my own business every single month.
Here's what's inside:
• Ghostwriter Content Strategy Deep Dive—the 5 content buckets that turn your LinkedIn into a client-attraction machine (with examples)
• Ghostwriter Content Calendar Generator—a Claude Skill that builds a personalized 4-week content calendar in minutes
• The Social Content Writer—a Claude Skill with 102 templates to help you write hooks, short-form, and long-form posts
• Anti-AI Writing Detector—rewrites AI-generated text to sound human (ship posts without ChatGPT/Claude giveaways)
• [BONUS] 102 Writing Hooks &amp; Templates—a master swipe file I built from years of studying what actually works on LinkedIn (the raw formats used by the Skills)
Want it?
Comment "content"
If we're not connected, send me a connection request with the word "content" (so I can DM you)
I'll send it over ASAP.
P.S. I made my first $5,000 on the internet as a ghostwriter.
And I landed that client because I was actively writing online.
Want to help more people do the same ✊</x:v>
      </x:c>
      <x:c r="D63" s="61" t="str">
        <x:v>c109c0372cecb52fbf9b75945aa408d1648ab1cf0bd4871ddd002ce0e73301be</x:v>
      </x:c>
      <x:c r="E63" s="61" t="str">
        <x:v>62.jpeg</x:v>
      </x:c>
      <x:c r="F63" s="61" t="str">
        <x:v>/Users/tigershetty/Documents/Codex/2026-06-30/ho/Codex-Linkedin-V3/infographic-setup/references/top 100/62.jpeg</x:v>
      </x:c>
      <x:c r="G63" s="61" t="str">
        <x:v>ca6ea29f87b34658b345a1b57a0a92b083fac8c7ce7b55722d295f74d622289e</x:v>
      </x:c>
      <x:c r="H63" s="64" t="b">
        <x:v>1</x:v>
      </x:c>
      <x:c r="I63" s="61"/>
      <x:c r="J63" s="61" t="str">
        <x:v>resolved</x:v>
      </x:c>
      <x:c r="K63" s="61" t="str">
        <x:v>medium</x:v>
      </x:c>
      <x:c r="L63" s="61" t="str">
        <x:v>Nicolas Cole</x:v>
      </x:c>
      <x:c r="M63" s="61" t="str">
        <x:v>https://www.linkedin.com/in/nicolascole</x:v>
      </x:c>
      <x:c r="N63" s="61" t="str"/>
      <x:c r="O63" s="62"/>
      <x:c r="P63" s="61" t="str">
        <x:v>Dickie Bush and Nicolas Cole</x:v>
      </x:c>
      <x:c r="Q63" s="61" t="str"/>
      <x:c r="R63" s="61" t="str">
        <x:v>Premium Ghostwriting Academy</x:v>
      </x:c>
      <x:c r="S63" s="61" t="str">
        <x:v>external_transferable</x:v>
      </x:c>
      <x:c r="T63" s="61" t="str">
        <x:v>no</x:v>
      </x:c>
      <x:c r="U63" s="61" t="str">
        <x:v>https://www.linkedin.com/in/david-begazo</x:v>
      </x:c>
      <x:c r="V63" s="22" t="str">
        <x:v>Exact original caption is embedded on a public profile; original permalink unresolved.</x:v>
      </x:c>
      <x:c r="W63" s="61" t="str">
        <x:v>yes</x:v>
      </x:c>
      <x:c r="X63" s="61" t="str">
        <x:v>curated_top100_workbook</x:v>
      </x:c>
      <x:c r="Y63" s="22" t="str"/>
    </x:row>
    <x:row r="64" ht="24" customHeight="1">
      <x:c r="A64" s="69" t="n">
        <x:v>63</x:v>
      </x:c>
      <x:c r="B64" s="69" t="n">
        <x:v>65</x:v>
      </x:c>
      <x:c r="C64" s="70" t="str">
        <x:v>85% of leaders regretted a major decision last year.
I've coached 650+ CEOs.
Every one of them has been there.
And I have too, of course.
The decision that keeps you up at 2am.
The one you overthought until the window closed.
The one you rushed when you should have slowed down.
The gap between a good call and a costly one is preparation.
The best CEOs pick their decision tool before the pressure hits.
7 decision frameworks worth keeping close:
1/ The Eisenhower Matrix
→ Sort by urgency and importance
→ Do it, schedule it, delegate it, or delete it
2/ The OODA Loop
→ Observe, Orient, Decide, Act
→ Built for fighter pilots. Works for fast markets.
3/ One-Way vs. Two-Way Doors
→ Reversible? Move fast.
→ Irreversible? Slow down.
4/ The ICE Method
→ Score options by Impact, Confidence, and Ease
→ Pick the highest score. Stop debating.
5/ The SPADE Framework
→ One person decides. Everyone else is heard.
→ Kills the "who's actually in charge" problem.
6/ The Premortem
→ Assume the decision already failed
→ Work backward. Fix it before you commit.
7/ The 10/10/10 Rule
→ How will you feel in 10 minutes, 10 months, 10 years?
→ Strips the emotion out of the decision.
That last one is the one I lean on most.
10 minutes in, you're scared.
10 months later, you're glad you did it.
10 years later, you've made that call 20 times.
You're bulletproof.
What's your go-to framework for tough decisions?
♻️ Repost to help a leader in your network.
P.S. 📌 Want hi-res PDFs of this and all my cheat sheets?
Try my free newsletter: https://lnkd.in/eksFWrNs
You'll get 100+ leadership cheat sheets for free.
(Stat source: Oracle)</x:v>
      </x:c>
      <x:c r="D64" s="61" t="str">
        <x:v>837a8e8ad8417c1201d2ea5204213e8cd55b7c6e7bbef409a44f3f45d364efa8</x:v>
      </x:c>
      <x:c r="E64" s="61" t="str">
        <x:v>63.jpeg</x:v>
      </x:c>
      <x:c r="F64" s="61" t="str">
        <x:v>/Users/tigershetty/Documents/Codex/2026-06-30/ho/Codex-Linkedin-V3/infographic-setup/references/top 100/63.jpeg</x:v>
      </x:c>
      <x:c r="G64" s="61" t="str">
        <x:v>136e261d892fe732a25ff95960d4d2f5caf34bd51d8acf187664a1d9f3c9cdbe</x:v>
      </x:c>
      <x:c r="H64" s="64" t="b">
        <x:v>1</x:v>
      </x:c>
      <x:c r="I64" s="61" t="str">
        <x:v>dup_001</x:v>
      </x:c>
      <x:c r="J64" s="61" t="str">
        <x:v>resolved</x:v>
      </x:c>
      <x:c r="K64" s="61" t="str">
        <x:v>high</x:v>
      </x:c>
      <x:c r="L64" s="61" t="str">
        <x:v>Eric Partaker</x:v>
      </x:c>
      <x:c r="M64" s="61" t="str">
        <x:v>https://www.linkedin.com/in/ericpartaker</x:v>
      </x:c>
      <x:c r="N64" s="61" t="str">
        <x:v>https://www.linkedin.com/posts/ericpartaker_85-of-leaders-regretted-a-major-decision-activity-7471169532758355968-c7NH</x:v>
      </x:c>
      <x:c r="O64" s="62" t="str">
        <x:v>2026-06-12</x:v>
      </x:c>
      <x:c r="P64" s="61" t="str">
        <x:v>Eric Partaker</x:v>
      </x:c>
      <x:c r="Q64" s="61" t="str"/>
      <x:c r="R64" s="61" t="str">
        <x:v>Eric Partaker</x:v>
      </x:c>
      <x:c r="S64" s="61" t="str">
        <x:v>external_transferable</x:v>
      </x:c>
      <x:c r="T64" s="61" t="str">
        <x:v>no</x:v>
      </x:c>
      <x:c r="U64" s="61" t="str">
        <x:v>https://www.linkedin.com/posts/ericpartaker_85-of-leaders-regretted-a-major-decision-activity-7471169532758355968-c7NH</x:v>
      </x:c>
      <x:c r="V64" s="22" t="str">
        <x:v>Exact duplicate of reference 1.</x:v>
      </x:c>
      <x:c r="W64" s="61" t="str">
        <x:v>no</x:v>
      </x:c>
      <x:c r="X64" s="61" t="str">
        <x:v>curated_top100_workbook</x:v>
      </x:c>
      <x:c r="Y64" s="22" t="str"/>
    </x:row>
    <x:row r="65" ht="24" customHeight="1">
      <x:c r="A65" s="69" t="n">
        <x:v>64</x:v>
      </x:c>
      <x:c r="B65" s="69" t="n">
        <x:v>66</x:v>
      </x:c>
      <x:c r="C65" s="70" t="str">
        <x:v>SUPPLY CHAIN ROLES AS BIRDS 🦆
Different birds. Same flock. One mission.
They’re all meant to be flying in the same direction…but are they?
Demand Planning - The Parrot
Repeats what it’s heard… just with more confidence.
Procurement - The Seagull
Opportunistic, loud and always trying to steal a deal.
Production Planning - The Woodpecker
Same thing. Again. Again. Still critical.
Materials Planning - The Magpie
Collects everything. “Might need it later.”
Inventory Management - The Penguin
Just stands there… until it suddenly matters.
Logistics - The Lanner Falcon
Fast. Precise. No room for error.
Customer Service - The Pigeon
Gets the message across and (mostly) keeps the peace.
Which bird is your S&amp;OP “bird’s eye view”? 🦜</x:v>
      </x:c>
      <x:c r="D65" s="61" t="str">
        <x:v>ec470a7a4cc8e736e7b9657c12fb83a5642fdc2a6c6803d5c47b108579bd039e</x:v>
      </x:c>
      <x:c r="E65" s="61" t="str">
        <x:v>64.jpeg</x:v>
      </x:c>
      <x:c r="F65" s="61" t="str">
        <x:v>/Users/tigershetty/Documents/Codex/2026-06-30/ho/Codex-Linkedin-V3/infographic-setup/references/top 100/64.jpeg</x:v>
      </x:c>
      <x:c r="G65" s="61" t="str">
        <x:v>1b950f30368324b3dcd06dae3116b11518ef2e434eb895f4e4ce51024081734e</x:v>
      </x:c>
      <x:c r="H65" s="64" t="b">
        <x:v>1</x:v>
      </x:c>
      <x:c r="I65" s="61"/>
      <x:c r="J65" s="61" t="str">
        <x:v>resolved</x:v>
      </x:c>
      <x:c r="K65" s="61" t="str">
        <x:v>high</x:v>
      </x:c>
      <x:c r="L65" s="61" t="str">
        <x:v>Vipin K Rastogi</x:v>
      </x:c>
      <x:c r="M65" s="61" t="str">
        <x:v>https://www.linkedin.com/in/vipin-k-rastogi-a751847a</x:v>
      </x:c>
      <x:c r="N65" s="61" t="str">
        <x:v>https://www.linkedin.com/posts/vipin-k-rastogi-a751847a_supply-chain-roles-as-birds-different-activity-7456550155622871040-8CRt</x:v>
      </x:c>
      <x:c r="O65" s="62"/>
      <x:c r="P65" s="61" t="str">
        <x:v>Vipin K Rastogi</x:v>
      </x:c>
      <x:c r="Q65" s="61" t="str"/>
      <x:c r="R65" s="61" t="str">
        <x:v>unresolved</x:v>
      </x:c>
      <x:c r="S65" s="61" t="str">
        <x:v>direct_scm</x:v>
      </x:c>
      <x:c r="T65" s="61" t="str">
        <x:v>no</x:v>
      </x:c>
      <x:c r="U65" s="61" t="str">
        <x:v>https://www.linkedin.com/posts/vipin-k-rastogi-a751847a_supply-chain-roles-as-birds-different-activity-7456550155622871040-8CRt</x:v>
      </x:c>
      <x:c r="V65" s="22" t="str">
        <x:v>Older similar theme by another creator is not an exact duplicate.</x:v>
      </x:c>
      <x:c r="W65" s="61" t="str">
        <x:v>no</x:v>
      </x:c>
      <x:c r="X65" s="61" t="str">
        <x:v>curated_top100_workbook</x:v>
      </x:c>
      <x:c r="Y65" s="22" t="str"/>
    </x:row>
    <x:row r="66" ht="24" customHeight="1">
      <x:c r="A66" s="69" t="n">
        <x:v>65</x:v>
      </x:c>
      <x:c r="B66" s="69" t="n">
        <x:v>67</x:v>
      </x:c>
      <x:c r="C66" s="70" t="str">
        <x:v>The Most Underrated Lean Tool? The Spaghetti Diagram.
In a world full of complex frameworks, dashboards, and analytics…
one of the most powerful Lean tools is still a simple drawing.
The Spaghetti Diagram.
And yet, many people underestimate it.
Why?
Because it looks too simple.
No software.
No KPIs.
No complexity.
So people assume:
“This won’t tell us anything new.”
Until they use it.
What makes it powerful
The Spaghetti Diagram does something data often cannot:
👉 It shows reality
👉 It makes waste visible
👉 It creates instant understanding
You don’t need perfect data.
You need:
* A layout
* A pen
* And the willingness to observe what actually happens
The moment that changes everything
You map the movement:
* People
* Materials
* Information
And suddenly…
Lines everywhere.
Crossing. Backtracking. Chaos.
Like a plate of spaghetti.
That’s when it clicks.
Because for the first time, the team doesn’t discuss waste…
They see it.
Real impact (from my projects)
Behind this simple tool, there are real results:
* 🔻 Walking distance reduced by 35–65%
* 🔻 Operator movement reduced by up to 50%
* 🔻 Process steps reduced by 20–40%
* 🔻 Lead time improved by 25–45%
* 🔻 Non-value-added motion cut by &gt;50%
In one case:
👉 Operator walking 8+ km per shift
👉 Reduced to &lt;3 km
Same people. Same process.
Just better flow.
Why it works
Humans understand visuals faster than numbers.
A KPI won’t create urgency.
A chaotic flow on paper will.
It removes opinions.
It removes assumptions.
It shows:
“This is what is really happening.”
What it reveals
Almost every time:
* Unnecessary motion
* Poor layout
* Hidden rework loops
* Lack of standardization
* “Temporary” fixes that became permanent
And the best part?
👉 The team sees it themselves.
The real value
It’s not the drawing.
It’s:
* The discussion it creates
* The awareness it builds
* The mindset shift it triggers
Because once people see it…
They cannot “unsee” it.
⚠️My advice ⁉️
𝘐𝘧 𝘺𝘰𝘶 𝘸𝘢𝘯𝘵 𝘵𝘰 𝘥𝘳𝘪𝘷𝘦 𝘳𝘦𝘢𝘭 𝘤𝘩𝘢𝘯𝘨𝘦:
𝘚𝘵𝘰𝘱 𝘦𝘹𝘱𝘭𝘢𝘪𝘯𝘪𝘯𝘨 𝘸𝘢𝘴𝘵𝘦.
𝘚𝘵𝘢𝘳𝘵 𝘴𝘩𝘰𝘸𝘪𝘯𝘨 𝘪𝘵.
The Spaghetti Diagram is one of the fastest, simplest ways to create impact.
No complexity.
No excuses.
Just reality.
𝘒𝘦𝘦𝘱 𝘪𝘵 𝘴𝘪𝘮𝘱𝘭𝘦. 𝘒𝘦𝘦𝘱 𝘪𝘵 𝘳𝘦𝘢𝘭. 𝘎𝘰 𝘢𝘯𝘥 𝘴𝘦𝘦.</x:v>
      </x:c>
      <x:c r="D66" s="61" t="str">
        <x:v>b6af690be25985d25de55ce67e5b5459cb9b9ac3427e61f15412346f79507531</x:v>
      </x:c>
      <x:c r="E66" s="61" t="str">
        <x:v>65.jpeg</x:v>
      </x:c>
      <x:c r="F66" s="61" t="str">
        <x:v>/Users/tigershetty/Documents/Codex/2026-06-30/ho/Codex-Linkedin-V3/infographic-setup/references/top 100/65.jpeg</x:v>
      </x:c>
      <x:c r="G66" s="61" t="str">
        <x:v>3e63e84c2047a17f4f43078bf00d3d938b13cbd06df58d233070be940df92095</x:v>
      </x:c>
      <x:c r="H66" s="64" t="b">
        <x:v>1</x:v>
      </x:c>
      <x:c r="I66" s="61"/>
      <x:c r="J66" s="61" t="str">
        <x:v>resolved</x:v>
      </x:c>
      <x:c r="K66" s="61" t="str">
        <x:v>high</x:v>
      </x:c>
      <x:c r="L66" s="61" t="str">
        <x:v>Agnieszka Kamila Van der Veen</x:v>
      </x:c>
      <x:c r="M66" s="61" t="str">
        <x:v>https://www.linkedin.com/in/agnieszka-kamila-van-der-veen-mba-8943266b</x:v>
      </x:c>
      <x:c r="N66" s="61" t="str">
        <x:v>https://www.linkedin.com/posts/agnieszka-kamila-van-der-veen-mba-8943266b_the-most-underrated-lean-tool-the-spaghetti-activity-7457024996649885697-5ggt</x:v>
      </x:c>
      <x:c r="O66" s="62"/>
      <x:c r="P66" s="61" t="str">
        <x:v>Aki Jun</x:v>
      </x:c>
      <x:c r="Q66" s="61" t="str"/>
      <x:c r="R66" s="61" t="str">
        <x:v>Lean Together / Aki Jun</x:v>
      </x:c>
      <x:c r="S66" s="61" t="str">
        <x:v>implementation_adjacent</x:v>
      </x:c>
      <x:c r="T66" s="61" t="str">
        <x:v>no</x:v>
      </x:c>
      <x:c r="U66" s="61" t="str">
        <x:v>https://www.linkedin.com/posts/agnieszka-kamila-van-der-veen-mba-8943266b_the-most-underrated-lean-tool-the-spaghetti-activity-7457024996649885697-5ggt</x:v>
      </x:c>
      <x:c r="V66" s="22" t="str">
        <x:v>Posting author is high confidence; separate source identity remains medium confidence.</x:v>
      </x:c>
      <x:c r="W66" s="61" t="str">
        <x:v>no</x:v>
      </x:c>
      <x:c r="X66" s="61" t="str">
        <x:v>curated_top100_workbook</x:v>
      </x:c>
      <x:c r="Y66" s="22" t="str"/>
    </x:row>
    <x:row r="67" ht="24" customHeight="1">
      <x:c r="A67" s="69" t="n">
        <x:v>66</x:v>
      </x:c>
      <x:c r="B67" s="69" t="n">
        <x:v>68</x:v>
      </x:c>
      <x:c r="C67" s="70" t="str">
        <x:v>We talk a lot about improvement.
Continuous improvement.
Endless improvement.
Always improve.
But here’s a question we rarely ask:
👉 𝘞𝘩𝘦𝘳𝘦 𝘪𝘴 𝘵𝘩𝘦 𝘦𝘯𝘥 𝘰𝘧 𝘪𝘮𝘱𝘳𝘰𝘷𝘦𝘮𝘦𝘯𝘵?
👉 𝘈𝘯𝘥 𝘥𝘰𝘦𝘴 𝘦𝘷𝘦𝘳𝘺𝘵𝘩𝘪𝘯𝘨 𝘳𝘦𝘢𝘭𝘭𝘺 𝘯𝘦𝘦𝘥 𝘵𝘰 𝘣𝘦 𝘪𝘮𝘱𝘳𝘰𝘷𝘦𝘥?
Look at the simplest objects around us.
A pen.
A safety pin.
A hairpin.
Decades have passed… and they look almost the same.
Not because no one tried to improve them.
But because they reached a point where:
✔ The function is clear
✔ The design is simple
✔ The value is delivered
✔ The waste is minimal
In other words - they are good enough.
In Lean, we push Kaizen every day.
But Kaizen is not about changing everything.
𝘒𝘢𝘪𝘻𝘦𝘯 𝘐𝘵’𝘴 𝘢𝘣𝘰𝘶𝘵 𝘪𝘮𝘱𝘳𝘰𝘷𝘪𝘯𝘨 𝘸𝘩𝘢𝘵 𝘯𝘦𝘦𝘥𝘴 𝘪𝘮𝘱𝘳𝘰𝘷𝘦𝘮𝘦𝘯𝘵.
Because when we improve blindly, we risk:
* Adding complexity instead of removing it
* Creating variation instead of stability
* Solving problems that don’t exist
💡 The real maturity in operations is not just the ability to improve.
It’s the ability to decide:
👉 This is already optimal for its purpose.
👉 This does not need to change.
So before your next improvement initiative, pause and ask:
* What problem are we solving?
* Is there waste here… or are we creating it?
* Are we improving the system… or just changing it?
Because Lean is not about endless change.
It’s about meaningful improvement.
And sometimes, the best improvement…
is knowing when to stop.</x:v>
      </x:c>
      <x:c r="D67" s="61" t="str">
        <x:v>2e68c8b0a18f548327222c6a623457142d7253a87eea0b3d946a44743ab35050</x:v>
      </x:c>
      <x:c r="E67" s="61" t="str">
        <x:v>66.jpeg</x:v>
      </x:c>
      <x:c r="F67" s="61" t="str">
        <x:v>/Users/tigershetty/Documents/Codex/2026-06-30/ho/Codex-Linkedin-V3/infographic-setup/references/top 100/66.jpeg</x:v>
      </x:c>
      <x:c r="G67" s="61" t="str">
        <x:v>c2756e42d9a830393abba9b844dd894a294b8651ee0bd29c0d9086555f7a15fc</x:v>
      </x:c>
      <x:c r="H67" s="64" t="b">
        <x:v>1</x:v>
      </x:c>
      <x:c r="I67" s="61"/>
      <x:c r="J67" s="61" t="str">
        <x:v>resolved</x:v>
      </x:c>
      <x:c r="K67" s="61" t="str">
        <x:v>high</x:v>
      </x:c>
      <x:c r="L67" s="61" t="str">
        <x:v>Agnieszka Kamila Van der Veen</x:v>
      </x:c>
      <x:c r="M67" s="61" t="str">
        <x:v>https://www.linkedin.com/in/agnieszka-kamila-van-der-veen-mba-8943266b</x:v>
      </x:c>
      <x:c r="N67" s="61" t="str">
        <x:v>https://www.linkedin.com/posts/agnieszka-kamila-van-der-veen-mba-8943266b_we-talk-a-lot-about-improvement-continuous-activity-7456050233689653248-U3Vs</x:v>
      </x:c>
      <x:c r="O67" s="62" t="str">
        <x:v>2026-05-01</x:v>
      </x:c>
      <x:c r="P67" s="61" t="str">
        <x:v>Agnieszka Kamila Van der Veen</x:v>
      </x:c>
      <x:c r="Q67" s="61" t="str"/>
      <x:c r="R67" s="61" t="str">
        <x:v>signed Agnes; likely author</x:v>
      </x:c>
      <x:c r="S67" s="61" t="str">
        <x:v>implementation_adjacent</x:v>
      </x:c>
      <x:c r="T67" s="61" t="str">
        <x:v>no</x:v>
      </x:c>
      <x:c r="U67" s="61" t="str">
        <x:v>https://www.linkedin.com/posts/leansuite_continuous-improvement-doesnt-have-a-finish-activity-7450558973319094272-mTMI</x:v>
      </x:c>
      <x:c r="V67" s="22" t="str">
        <x:v>Exact original recovered; embedded reshare retained as corroborating evidence.</x:v>
      </x:c>
      <x:c r="W67" s="61" t="str">
        <x:v>no</x:v>
      </x:c>
      <x:c r="X67" s="61" t="str">
        <x:v>curated_top100_workbook</x:v>
      </x:c>
      <x:c r="Y67" s="22" t="str"/>
    </x:row>
    <x:row r="68" ht="24" customHeight="1">
      <x:c r="A68" s="69" t="n">
        <x:v>67</x:v>
      </x:c>
      <x:c r="B68" s="69" t="n">
        <x:v>69</x:v>
      </x:c>
      <x:c r="C68" s="70" t="str">
        <x:v>The question is no longer "𝐒𝐡𝐨𝐮𝐥𝐝 𝐰𝐞 𝐮𝐬𝐞 𝐀𝐈 𝐢𝐧 𝐏𝐫𝐨𝐜𝐮𝐫𝐞𝐦𝐞𝐧𝐭?" but "𝐇𝐨𝐰 𝐝𝐨 𝐰𝐞 𝐨𝐩𝐞𝐫𝐚𝐭𝐢𝐨𝐧𝐚𝐥𝐢𝐳𝐞 𝐢𝐭 𝐞𝐟𝐟𝐞𝐜𝐭𝐢𝐯𝐞𝐥𝐲?"
Procurement isn't just about "buying stuff" anymore, it’s about 𝐨𝐮𝐭𝐬𝐦𝐚𝐫𝐭𝐢𝐧𝐠 𝐭𝐡𝐞 𝐦𝐚𝐫𝐤𝐞𝐭. If you’re still stuck in manual spreadsheets, you’re leaving money on the table. AI is the ultimate leverage to move from a 𝐜𝐨𝐬𝐭 𝐜𝐞𝐧𝐭𝐞𝐫 to a 𝐬𝐭𝐫𝐚𝐭𝐞𝐠𝐢𝐜 𝐯𝐚𝐥𝐮𝐞 𝐝𝐫𝐢𝐯𝐞𝐫.
This 𝐏𝐫𝐨𝐜𝐮𝐫𝐞𝐦𝐞𝐧𝐭 𝐀𝐈 𝐒𝐭𝐫𝐚𝐭𝐞𝐠𝐲 𝐌𝐚𝐩 is your 90-day blueprint to:
✅ 𝐈𝐝𝐞𝐧𝐭𝐢𝐟𝐲 high-impact gaps &amp; hidden savings.
✅ 𝐏𝐫𝐞𝐝𝐢𝐜𝐭 risks before they hit your supply chain.
✅ 𝐒𝐜𝐚𝐥𝐞 what actually works with a disciplined roadmap.
Stop playing catch-up. Start leading the 𝐀𝐈 𝐭𝐫𝐚𝐧𝐬𝐟𝐨𝐫𝐦𝐚𝐭𝐢𝐨𝐧.
📰 𝐉𝐨𝐢𝐧 a growing community of supply chain professionals who are making smarter decisions every week through AI-powered insights: https://lnkd.in/eiyuDvEU
🔖 𝗦𝗮𝘃𝗲 this guide for your next strategy session!
♻️ 𝗥𝗲𝗽𝗼𝘀𝘁 to help your network lead the AI shift!
🔔 𝐅𝐨𝐥𝐥𝐨𝐰 Asmaa Gad &amp; Supply Chain AI Pro for more insights!</x:v>
      </x:c>
      <x:c r="D68" s="61" t="str">
        <x:v>3cc96f167e3dc4422e02f2acd47d3309caaddda0f7481cacb204075d222e9f3b</x:v>
      </x:c>
      <x:c r="E68" s="61" t="str">
        <x:v>67.jpeg</x:v>
      </x:c>
      <x:c r="F68" s="61" t="str">
        <x:v>/Users/tigershetty/Documents/Codex/2026-06-30/ho/Codex-Linkedin-V3/infographic-setup/references/top 100/67.jpeg</x:v>
      </x:c>
      <x:c r="G68" s="61" t="str">
        <x:v>6ed342c0e27c08d06b65682841fe7fb780b77887341478bebe237120e9a0d071</x:v>
      </x:c>
      <x:c r="H68" s="64" t="b">
        <x:v>1</x:v>
      </x:c>
      <x:c r="I68" s="61"/>
      <x:c r="J68" s="61" t="str">
        <x:v>resolved</x:v>
      </x:c>
      <x:c r="K68" s="61" t="str">
        <x:v>high</x:v>
      </x:c>
      <x:c r="L68" s="61" t="str">
        <x:v>Asmaa Gad</x:v>
      </x:c>
      <x:c r="M68" s="61" t="str">
        <x:v>https://www.linkedin.com/in/supplychainaipro</x:v>
      </x:c>
      <x:c r="N68" s="61" t="str">
        <x:v>https://www.linkedin.com/posts/supplychainaipro_procurement-supplychain-generativeai-activity-7456963522044968960-sDNX</x:v>
      </x:c>
      <x:c r="O68" s="62"/>
      <x:c r="P68" s="61" t="str">
        <x:v>Asmaa Gad</x:v>
      </x:c>
      <x:c r="Q68" s="61" t="str"/>
      <x:c r="R68" s="61" t="str">
        <x:v>Supply Chain AI Pro</x:v>
      </x:c>
      <x:c r="S68" s="61" t="str">
        <x:v>direct_scm</x:v>
      </x:c>
      <x:c r="T68" s="61" t="str">
        <x:v>yes</x:v>
      </x:c>
      <x:c r="U68" s="61" t="str">
        <x:v>https://www.linkedin.com/posts/supplychainaipro_procurement-supplychain-generativeai-activity-7456963522044968960-sDNX</x:v>
      </x:c>
      <x:c r="V68" s="22" t="str">
        <x:v>Exact caption and visual match.</x:v>
      </x:c>
      <x:c r="W68" s="61" t="str">
        <x:v>no</x:v>
      </x:c>
      <x:c r="X68" s="61" t="str">
        <x:v>curated_top100_workbook</x:v>
      </x:c>
      <x:c r="Y68" s="22" t="str"/>
    </x:row>
    <x:row r="69" ht="24" customHeight="1">
      <x:c r="A69" s="69" t="n">
        <x:v>68</x:v>
      </x:c>
      <x:c r="B69" s="69" t="n">
        <x:v>70</x:v>
      </x:c>
      <x:c r="C69" s="70" t="str">
        <x:v>If you want true inbound from LinkedIn: EVERY SINGLE post needs a JOB. This four-bucket funnel is how I build six-seven figure pipelines from content alone.
Most people post whatever comes to mind and hope for the best.
That's a slot machine, not a strategy.
After building some of the biggest personal brands on LinkedIn (and building an agency that's pulled in over $1M from content alone), I realized every post falls into one of four buckets.
Each one has a specific job in the funnel:
→ Growth (40% of posts)
Gets you discovered by new people. Hot takes, industry commentary, bold observations. This is your top of funnel. Broad enough to attract, sharp enough to stand out.
→ Authority (30% of posts)
Makes them trust you. Frameworks, systems, case studies, client results. This is where you prove you can actually deliver.
→ Conversion (20% of posts)
Turns followers into clients. Direct offers, lead magnets, clear CTAs. This is where content becomes revenue.
→ Personal (10% of posts)
Makes them remember YOU. Stories, behind the scenes, real moments. People buy from people they feel connected to.
Each type feeds the next.
Growth posts bring new eyes → Authority posts build trust → Conversion posts drive action → Personal posts keep them engaged.
That's a flywheel, not just a content calendar.
74 people joined The LinkedIn Engine in 11 days because they saw this system work.
The live bootcamp starts the second week of May. 4 weeks of live calls, homework, and the same flywheel we run for Distinctiva clients.
Join now so you don't miss it live.
We're all going to be building real content engines together.
Or save this. Screenshot it. Build your next month of content around it.
Your content should be working as hard as you do.
P.S:
If you want to build this out with me (and 74 other founders, operators, and people building their first business already inside), come join us at The LinkedIn Engine 👇
Only 26 founding member spots left at this price. Once they're gone, I'm not bringing it back.</x:v>
      </x:c>
      <x:c r="D69" s="61" t="str">
        <x:v>1abb00c9a8f8a175defbaecf7d62094810a25fd10ddea5c958d687eb032a77fd</x:v>
      </x:c>
      <x:c r="E69" s="61" t="str">
        <x:v>68.jpeg</x:v>
      </x:c>
      <x:c r="F69" s="61" t="str">
        <x:v>/Users/tigershetty/Documents/Codex/2026-06-30/ho/Codex-Linkedin-V3/infographic-setup/references/top 100/68.jpeg</x:v>
      </x:c>
      <x:c r="G69" s="61" t="str">
        <x:v>51608034435992cf30218161166f2af93ff8694963c3f19042d6f8eb8a16a69e</x:v>
      </x:c>
      <x:c r="H69" s="64" t="b">
        <x:v>1</x:v>
      </x:c>
      <x:c r="I69" s="61"/>
      <x:c r="J69" s="61" t="str">
        <x:v>resolved</x:v>
      </x:c>
      <x:c r="K69" s="61" t="str">
        <x:v>high</x:v>
      </x:c>
      <x:c r="L69" s="61" t="str">
        <x:v>Diandra Escobar</x:v>
      </x:c>
      <x:c r="M69" s="61" t="str">
        <x:v>https://www.linkedin.com/in/diandraescobar</x:v>
      </x:c>
      <x:c r="N69" s="61" t="str">
        <x:v>https://www.linkedin.com/posts/diandraescobar_if-you-want-true-inbound-from-linkedin-every-activity-7444357555960823808-dzVx</x:v>
      </x:c>
      <x:c r="O69" s="62"/>
      <x:c r="P69" s="61" t="str">
        <x:v>Diandra Escobar</x:v>
      </x:c>
      <x:c r="Q69" s="61" t="str"/>
      <x:c r="R69" s="61" t="str">
        <x:v>Diandra Escobar</x:v>
      </x:c>
      <x:c r="S69" s="61" t="str">
        <x:v>external_transferable</x:v>
      </x:c>
      <x:c r="T69" s="61" t="str">
        <x:v>no</x:v>
      </x:c>
      <x:c r="U69" s="61" t="str">
        <x:v>https://www.linkedin.com/posts/diandraescobar_if-you-want-true-inbound-from-linkedin-every-activity-7444357555960823808-dzVx</x:v>
      </x:c>
      <x:c r="V69" s="22" t="str">
        <x:v>Exact caption match.</x:v>
      </x:c>
      <x:c r="W69" s="61" t="str">
        <x:v>no</x:v>
      </x:c>
      <x:c r="X69" s="61" t="str">
        <x:v>curated_top100_workbook</x:v>
      </x:c>
      <x:c r="Y69" s="22" t="str"/>
    </x:row>
    <x:row r="70" ht="24" customHeight="1">
      <x:c r="A70" s="69" t="n">
        <x:v>69</x:v>
      </x:c>
      <x:c r="B70" s="69" t="n">
        <x:v>71</x:v>
      </x:c>
      <x:c r="C70" s="70" t="str">
        <x:v>Strategic Sourcing is as rare as a diet at a Barbecue.
Procurement teams confuse the minimum three bid process as a stategy.
But I’ve seen supplier selection fail time and again as Price is confused with Value. 
Depending on the context, three areas to consider:
- Does your Procurement team understand Strategic Sourcing?
- Do you have the time to deliver this?
- Are you adequately resourced?
Let's breakdown Strategic Sourcing into its basic steps:
1️⃣ A product or service is required. Procurement uses specialised sourcing resource to find the best value.
2️⃣ Sourcing team establish a baseline
3️⃣ All applicable vendors identified
4️⃣ Vendors are polled for information (RFI)
5️⃣ Best-fit vendors are selected
6️⃣ Finalists polled thoroughly and submit proposals (RFP)
7️⃣ A vendor is selected
8️⃣ The proposal is further negotiated
9️⃣ Contract signed
🔟 A specialist team monitors contract compliance
Remember the above takes planning and time (a mimimum 12 weeks).
Often businesses can't afford that luxury.
Or Procurement teams feel pressured to deliver something fast. 
But the biggest failure?
Most Procurement teams aren't resourced to deliver Strategic Sourcing adequately to truly drive value.
The cost of relying on traditional or three bid benchmarking is too often spend regret and we don't learn the lessons. 
I like this quote and it's one to consider when businesses repeat the same spend mistakes year in year out:
“A good failure is when the value of the lesson is greater than the cost of the lesson. A bad failure is when the value of the lesson is much less than the cost of the lesson.” - Alberto Savoia, author of The Right It
Hope that helps!
---
P.S. You can download this infographic (PDF) and 40+ others for free by subscribing to my newsletter: https://procurebites.com/</x:v>
      </x:c>
      <x:c r="D70" s="61" t="str">
        <x:v>08762b615a99b69f11cd898460fefd7e2e600a6197c65f0dad8ce561659be4fb</x:v>
      </x:c>
      <x:c r="E70" s="61" t="str">
        <x:v>69.jpeg</x:v>
      </x:c>
      <x:c r="F70" s="61" t="str">
        <x:v>/Users/tigershetty/Documents/Codex/2026-06-30/ho/Codex-Linkedin-V3/infographic-setup/references/top 100/69.jpeg</x:v>
      </x:c>
      <x:c r="G70" s="61" t="str">
        <x:v>ae3a3a797bff35d6bbeee8e88037fa22d69422948f2c420c590f72a704e1ec88</x:v>
      </x:c>
      <x:c r="H70" s="64" t="b">
        <x:v>1</x:v>
      </x:c>
      <x:c r="I70" s="61"/>
      <x:c r="J70" s="61" t="str">
        <x:v>resolved</x:v>
      </x:c>
      <x:c r="K70" s="61" t="str">
        <x:v>high</x:v>
      </x:c>
      <x:c r="L70" s="61" t="str">
        <x:v>Tom Mills</x:v>
      </x:c>
      <x:c r="M70" s="61" t="str">
        <x:v>https://www.linkedin.com/in/tom-mills-procurement</x:v>
      </x:c>
      <x:c r="N70" s="61" t="str">
        <x:v>https://www.linkedin.com/posts/tom-mills-procurement_strategic-sourcing-is-as-rare-as-a-diet-at-activity-7313455219453898752-oi5F</x:v>
      </x:c>
      <x:c r="O70" s="62"/>
      <x:c r="P70" s="61" t="str">
        <x:v>Tom Mills</x:v>
      </x:c>
      <x:c r="Q70" s="61" t="str"/>
      <x:c r="R70" s="61" t="str">
        <x:v>Procure Bites / Tom Mills</x:v>
      </x:c>
      <x:c r="S70" s="61" t="str">
        <x:v>direct_scm</x:v>
      </x:c>
      <x:c r="T70" s="61" t="str">
        <x:v>yes</x:v>
      </x:c>
      <x:c r="U70" s="61" t="str">
        <x:v>https://www.linkedin.com/posts/tom-mills-procurement_strategic-sourcing-is-as-rare-as-a-diet-at-activity-7313455219453898752-oi5F</x:v>
      </x:c>
      <x:c r="V70" s="22" t="str">
        <x:v>Exact caption match.</x:v>
      </x:c>
      <x:c r="W70" s="61" t="str">
        <x:v>no</x:v>
      </x:c>
      <x:c r="X70" s="61" t="str">
        <x:v>curated_top100_workbook</x:v>
      </x:c>
      <x:c r="Y70" s="22" t="str"/>
    </x:row>
    <x:row r="71" ht="24" customHeight="1">
      <x:c r="A71" s="69" t="n">
        <x:v>70</x:v>
      </x:c>
      <x:c r="B71" s="69" t="n">
        <x:v>72</x:v>
      </x:c>
      <x:c r="C71" s="70" t="str">
        <x:v>𝗖𝗹𝗮𝘂𝗱𝗲 𝗵𝗮𝘀 𝟮𝟮+ 𝗳𝗲𝗮𝘁𝘂𝗿𝗲𝘀 𝗳𝗼𝗿 𝗽𝗿𝗼𝗰𝘂𝗿𝗲𝗺𝗲𝗻𝘁.
𝗠𝗼𝘀𝘁 𝗽𝗲𝗼𝗽𝗹𝗲 𝘂𝘀𝗲 𝟭.
They type a question. Get an answer. Close the tab.
That's not AI for procurement. That's a fancy search engine.
Here's what the top performers actually use:
→ Global Instructions - so Claude always thinks like a senior buyer 
→ Skills - reusable RFQ generators and risk checkers 
→ Connectors - plugged into Google Sheets, Gmail, Drive 
→ Scoped Memory - remembers past negotiations and decisions 
→ Scheduled Tasks - weekly spend reports on autopilot 
→ Extended Thinking - for make vs buy and cost breakdowns
The difference is NOT the tool. It's how you set it up.
I mapped every single feature in plain English.
Save this. Set it up once. Use it forever.
Join our free newsletter for weekly AI tips in procurement and supply chain → https://lnkd.in/ebGwQKwH
Follow Asmaa Gad + Supply Chain AI Pro for more</x:v>
      </x:c>
      <x:c r="D71" s="61" t="str">
        <x:v>821c008a0a34b28bbcf4f10656002d707ca6b42fcac5eee026bc31e92f0709ac</x:v>
      </x:c>
      <x:c r="E71" s="61" t="str">
        <x:v>70.jpeg</x:v>
      </x:c>
      <x:c r="F71" s="61" t="str">
        <x:v>/Users/tigershetty/Documents/Codex/2026-06-30/ho/Codex-Linkedin-V3/infographic-setup/references/top 100/70.jpeg</x:v>
      </x:c>
      <x:c r="G71" s="61" t="str">
        <x:v>004b01bc892e44bb96c412803f1c1de741eb7604c336643f3b723ef331369fb1</x:v>
      </x:c>
      <x:c r="H71" s="64" t="b">
        <x:v>1</x:v>
      </x:c>
      <x:c r="I71" s="61"/>
      <x:c r="J71" s="61" t="str">
        <x:v>resolved</x:v>
      </x:c>
      <x:c r="K71" s="61" t="str">
        <x:v>high</x:v>
      </x:c>
      <x:c r="L71" s="61" t="str">
        <x:v>Asmaa Gad</x:v>
      </x:c>
      <x:c r="M71" s="61" t="str">
        <x:v>https://www.linkedin.com/in/supplychainaipro</x:v>
      </x:c>
      <x:c r="N71" s="61" t="str">
        <x:v>https://www.linkedin.com/posts/supplychainaipro_%F0%9D%97%96%F0%9D%97%B9%F0%9D%97%AE%F0%9D%98%82%F0%9D%97%B1%F0%9D%97%B2-%F0%9D%97%B5%F0%9D%97%AE%F0%9D%98%80-%F0%9D%9F%AE%F0%9D%9F%AE-%F0%9D%97%B3%F0%9D%97%B2%F0%9D%97%AE%F0%9D%98%81%F0%9D%98%82%F0%9D%97%BF%F0%9D%97%B2%F0%9D%98%80-activity-7453710646333972480-jUmz</x:v>
      </x:c>
      <x:c r="O71" s="62"/>
      <x:c r="P71" s="61" t="str">
        <x:v>Asmaa Gad</x:v>
      </x:c>
      <x:c r="Q71" s="61" t="str"/>
      <x:c r="R71" s="61" t="str">
        <x:v>Supply Chain AI Pro</x:v>
      </x:c>
      <x:c r="S71" s="61" t="str">
        <x:v>direct_scm</x:v>
      </x:c>
      <x:c r="T71" s="61" t="str">
        <x:v>yes</x:v>
      </x:c>
      <x:c r="U71" s="61" t="str">
        <x:v>https://www.linkedin.com/posts/supplychainaipro_%F0%9D%97%96%F0%9D%97%B9%F0%9D%97%AE%F0%9D%98%82%F0%9D%97%B1%F0%9D%97%B2-%F0%9D%97%B5%F0%9D%97%AE%F0%9D%98%80-%F0%9D%9F%AE%F0%9D%9F%AE-%F0%9D%97%B3%F0%9D%97%B2%F0%9D%97%AE%F0%9D%98%81%F0%9D%98%82%F0%9D%97%BF%F0%9D%97%B2%F0%9D%98%80-activity-7453710646333972480-jUmz</x:v>
      </x:c>
      <x:c r="V71" s="22" t="str">
        <x:v>Exact caption and visual match.</x:v>
      </x:c>
      <x:c r="W71" s="61" t="str">
        <x:v>no</x:v>
      </x:c>
      <x:c r="X71" s="61" t="str">
        <x:v>curated_top100_workbook</x:v>
      </x:c>
      <x:c r="Y71" s="22" t="str"/>
    </x:row>
    <x:row r="72" ht="24" customHeight="1">
      <x:c r="A72" s="69" t="n">
        <x:v>71</x:v>
      </x:c>
      <x:c r="B72" s="69" t="n">
        <x:v>73</x:v>
      </x:c>
      <x:c r="C72" s="70" t="str">
        <x:v>𝗠𝗼𝘀𝘁 𝗽𝗿𝗼𝗰𝘂𝗿𝗲𝗺𝗲𝗻𝘁 𝗽𝗿𝗼𝗳𝗲𝘀𝘀𝗶𝗼𝗻𝗮𝗹𝘀 𝗮𝗿𝗲 𝘀𝘁𝘂𝗰𝗸 𝗼𝗻 𝗟𝗲𝘃𝗲𝗹 𝟭.
𝗧𝗵𝗲𝗿𝗲 𝗮𝗿𝗲 𝟰 𝗹𝗲𝘃𝗲𝗹𝘀.
Level 1: Claude Chat → You type. It responds. Like a search engine.
Level 2: Claude Cowork → It lives on your desktop. Reads your files. Creates real .docx, .xlsx, .pptx in your folder.
Level 3: Skills and Plugins → You teach it repeatable workflows. It runs them automatically. Claude in Excel. Scheduled tasks. It works while you sleep.
Level 4: Code + Computer → Claude becomes your automation engine. Parallel agents. MCP servers. Full business from the CLI.
Each level unlocks a different kind of value.
Level 1 saves you minutes. Level 4 saves you 15-20 hours per week.
Most people never leave Level 1 because they don't know the other three exist.
Now you do.
Join our free newsletter for weekly AI tips in procurement and supply chain → https://lnkd.in/ebGwQKwH</x:v>
      </x:c>
      <x:c r="D72" s="61" t="str">
        <x:v>8a8626ed6eb2d90bc9ace11ac4a6eaa5769cd23b331d98cdb7e4e39360909ffb</x:v>
      </x:c>
      <x:c r="E72" s="61" t="str">
        <x:v>71.jpeg</x:v>
      </x:c>
      <x:c r="F72" s="61" t="str">
        <x:v>/Users/tigershetty/Documents/Codex/2026-06-30/ho/Codex-Linkedin-V3/infographic-setup/references/top 100/71.jpeg</x:v>
      </x:c>
      <x:c r="G72" s="61" t="str">
        <x:v>cadb01bfbb16d1f04ba20dff20f27655cc154af9892f63c94ffd9d8d4cd1d060</x:v>
      </x:c>
      <x:c r="H72" s="64" t="b">
        <x:v>1</x:v>
      </x:c>
      <x:c r="I72" s="61"/>
      <x:c r="J72" s="61" t="str">
        <x:v>resolved</x:v>
      </x:c>
      <x:c r="K72" s="61" t="str">
        <x:v>high</x:v>
      </x:c>
      <x:c r="L72" s="61" t="str">
        <x:v>Asmaa Gad</x:v>
      </x:c>
      <x:c r="M72" s="61" t="str">
        <x:v>https://www.linkedin.com/in/supplychainaipro</x:v>
      </x:c>
      <x:c r="N72" s="61" t="str"/>
      <x:c r="O72" s="62"/>
      <x:c r="P72" s="61" t="str">
        <x:v>Asmaa Gad</x:v>
      </x:c>
      <x:c r="Q72" s="61" t="str"/>
      <x:c r="R72" s="61" t="str">
        <x:v>Supply Chain AI Pro</x:v>
      </x:c>
      <x:c r="S72" s="61" t="str">
        <x:v>direct_scm</x:v>
      </x:c>
      <x:c r="T72" s="61" t="str">
        <x:v>yes</x:v>
      </x:c>
      <x:c r="U72" s="61" t="str"/>
      <x:c r="V72" s="22" t="str">
        <x:v>Author explicit on local visual; permalink unresolved.</x:v>
      </x:c>
      <x:c r="W72" s="61" t="str">
        <x:v>yes</x:v>
      </x:c>
      <x:c r="X72" s="61" t="str">
        <x:v>curated_top100_workbook</x:v>
      </x:c>
      <x:c r="Y72" s="22" t="str"/>
    </x:row>
    <x:row r="73" ht="24" customHeight="1">
      <x:c r="A73" s="69" t="n">
        <x:v>72</x:v>
      </x:c>
      <x:c r="B73" s="69" t="n">
        <x:v>74</x:v>
      </x:c>
      <x:c r="C73" s="70" t="str">
        <x:v>Stop asking AI to write LinkedIn posts.
Do this instead:
Step 1: Sign up for Stanley.
Step 2: Complete the onboarding.
Step 3: Follow the process below.
Try it (14-days free) → https://lnkd.in/eDh9YRNc
Stanley drafts in your voice by reading your posts. 
Bonus: Repost ♻️ this + DM me the word "Stanley".
I'll send the 4-min walkthrough and 9 more prompts.
1. Mine your voice before you write
✦ Paste your 10 best posts
✦ Ask for tone and themes
✦ Save the profile. Reuse it forever.
"Pull my last 10 posts. Map my sentence patterns and recurring themes. Save it as a voice profile I can reuse."
Generic AI averages everyone. Specifics are the moat.
2. Stock a content bank
✦ List 5 recent wins or hot takes
✦ Tag each with lesson, emotion, angles
✦ File by reader pain point
"Here are 5 moments from my work this month. For each, pull out the lesson, the emotion, and 3 angles to write from."
Real names and exact numbers AI cannot copy.
3. Generate hooks, not posts
✦ Ask for 10 hook variations
✦ Cut anything over 12 words
✦ Pick the one with a number in it
"Write me 10 scroll-stopping hooks for [topic]. Under 10 words each. Specific and curiosity-led."
Aim for 6 to 7 words. Short beats clever.
4. Map the structure
✦ Pick the winning hook
✦ Outline before you write
✦ 3 key beats. No more.
"Outline a post for [idea]. Hook, 3 beats, transition, closing line that drives action. Nothing else."
Re-hook on line 2 to force the "see more" click.
5. Stack your proof points
✦ Claim in one line
✦ One stat, one story, one contrarian take
✦ Cut anything you cannot source
"I want to make this point: [X]. Back it with one stat, one story from my own work, and one contrarian angle."
Disagree with the obvious. Tension stops the scroll.
6. Reformat for the feed
✦ Sentences under 55 characters
✦ Blank line between each beat
✦ First 2 lines carry the whole post
"Reformat this draft for LinkedIn. Break lines. Cut filler. Make it scannable in 20 seconds."
White space chunks ideas into bite-sized beats.
7. Strip the AI tells
✦ Cut clichés and rhetorical questions
✦ Kill em dashes and filler words
✦ Active voice. Zero adverbs.
"Scan this for AI giveaways. Kill rhetorical questions. Cut robotic phrasing. Rewrite any cliché in my voice."
Read it aloud. If it trips your tongue, it trips their eyes.
8. Lock it into a system
✦ Save the full prompt chain
✦ Build a reusable skill
✦ Run it for every new post
"Turn this whole chain into a custom prompt template. One input. Eight outputs. Reusable for every post."
One template kills 80% of blank-page dread.
Most people type "write me a post about X."
Then wonder why it sounds like everyone else.
Repost ♻️ to help someone in your network. 
hashtag#StanleyPartner</x:v>
      </x:c>
      <x:c r="D73" s="61" t="str">
        <x:v>a0a89815aecc805811ece68ea68ad8e66bc30e77f73de4f857cbf54b13c2028f</x:v>
      </x:c>
      <x:c r="E73" s="61" t="str">
        <x:v>72.jpeg</x:v>
      </x:c>
      <x:c r="F73" s="61" t="str">
        <x:v>/Users/tigershetty/Documents/Codex/2026-06-30/ho/Codex-Linkedin-V3/infographic-setup/references/top 100/72.jpeg</x:v>
      </x:c>
      <x:c r="G73" s="61" t="str">
        <x:v>6b695b497eb84064ee542abe74b478b3d06f3da7ef9f98d8a2f4b04c2407a7a6</x:v>
      </x:c>
      <x:c r="H73" s="64" t="b">
        <x:v>1</x:v>
      </x:c>
      <x:c r="I73" s="61"/>
      <x:c r="J73" s="61" t="str">
        <x:v>resolved</x:v>
      </x:c>
      <x:c r="K73" s="61" t="str">
        <x:v>high</x:v>
      </x:c>
      <x:c r="L73" s="61" t="str">
        <x:v>Charlie Hills</x:v>
      </x:c>
      <x:c r="M73" s="61" t="str">
        <x:v>https://www.linkedin.com/in/charlie-hills</x:v>
      </x:c>
      <x:c r="N73" s="61" t="str">
        <x:v>https://www.linkedin.com/posts/charlie-hills_stanleypartner-activity-7453019851943587840-BkMA</x:v>
      </x:c>
      <x:c r="O73" s="62"/>
      <x:c r="P73" s="61" t="str">
        <x:v>Charlie Hills</x:v>
      </x:c>
      <x:c r="Q73" s="61" t="str"/>
      <x:c r="R73" s="61" t="str">
        <x:v>Charlie Hills / Stanley partnership</x:v>
      </x:c>
      <x:c r="S73" s="61" t="str">
        <x:v>external_transferable</x:v>
      </x:c>
      <x:c r="T73" s="61" t="str">
        <x:v>no</x:v>
      </x:c>
      <x:c r="U73" s="61" t="str">
        <x:v>https://www.linkedin.com/posts/charlie-hills_stanleypartner-activity-7453019851943587840-BkMA</x:v>
      </x:c>
      <x:c r="V73" s="22" t="str">
        <x:v>Company repost exists; this is the matching posting-author permalink.</x:v>
      </x:c>
      <x:c r="W73" s="61" t="str">
        <x:v>no</x:v>
      </x:c>
      <x:c r="X73" s="61" t="str">
        <x:v>curated_top100_workbook</x:v>
      </x:c>
      <x:c r="Y73" s="22" t="str"/>
    </x:row>
    <x:row r="74" ht="24" customHeight="1">
      <x:c r="A74" s="69" t="n">
        <x:v>73</x:v>
      </x:c>
      <x:c r="B74" s="69" t="n">
        <x:v>75</x:v>
      </x:c>
      <x:c r="C74" s="70" t="str">
        <x:v>✅ FIFO vs FEFO vs LIFO vs NIFO
FIFO is not always the smartest choice.
Know which method actually protects your bottom line.
Each inventory method serves a different purpose in profitability, compliance, and operational efficiency.
Here’s what you need to know:
• FIFO moves oldest stock first → Good for perishables.
• FEFO moves what expires first → Critical for compliance.
• LIFO moves newest stock first → Saves tax, distorts cost.
• NIFO uses replacement cost → Great for pricing in inflation.
The wrong choice costs you: spoilage, overstock, tax penalties, and customer dissatisfaction.
P.S. Your inventory method should align with your product type, market conditions, and financial strategy, not just accounting tradition. 
___________________
Found this helpful? ♻️ Repost it to HELP your network get it right, and follow Onesphore RAKOTOMALALA and OR Insights for more !</x:v>
      </x:c>
      <x:c r="D74" s="61" t="str">
        <x:v>01b01d063241f9eecca8a6c741047e9e03c3c698f1fa7b81fec4fca91225164b</x:v>
      </x:c>
      <x:c r="E74" s="61" t="str">
        <x:v>73.jpeg</x:v>
      </x:c>
      <x:c r="F74" s="61" t="str">
        <x:v>/Users/tigershetty/Documents/Codex/2026-06-30/ho/Codex-Linkedin-V3/infographic-setup/references/top 100/73.jpeg</x:v>
      </x:c>
      <x:c r="G74" s="61" t="str">
        <x:v>296a54e9d60bd5990470d86b64e00c7b424f38975249cc176dbc515e25c7275d</x:v>
      </x:c>
      <x:c r="H74" s="64" t="b">
        <x:v>1</x:v>
      </x:c>
      <x:c r="I74" s="61"/>
      <x:c r="J74" s="61" t="str">
        <x:v>resolved</x:v>
      </x:c>
      <x:c r="K74" s="61" t="str">
        <x:v>high</x:v>
      </x:c>
      <x:c r="L74" s="61" t="str">
        <x:v>Onesphore RAKOTOMALALA</x:v>
      </x:c>
      <x:c r="M74" s="61" t="str">
        <x:v>https://www.linkedin.com/in/onesphore-rkt</x:v>
      </x:c>
      <x:c r="N74" s="61" t="str">
        <x:v>https://www.linkedin.com/posts/onesphore-rkt_fifo-vs-fefo-vs-lifo-vs-nifo-fifo-is-not-activity-7423636363196981248-N1d9</x:v>
      </x:c>
      <x:c r="O74" s="62" t="str">
        <x:v>2026-02-01</x:v>
      </x:c>
      <x:c r="P74" s="61" t="str">
        <x:v>Onesphore RAKOTOMALALA</x:v>
      </x:c>
      <x:c r="Q74" s="61" t="str"/>
      <x:c r="R74" s="61" t="str">
        <x:v>OR Insights</x:v>
      </x:c>
      <x:c r="S74" s="61" t="str">
        <x:v>direct_scm</x:v>
      </x:c>
      <x:c r="T74" s="61" t="str">
        <x:v>no</x:v>
      </x:c>
      <x:c r="U74" s="61" t="str">
        <x:v>https://www.linkedin.com/posts/onesphore-rkt_fifo-vs-fefo-vs-lifo-vs-nifo-fifo-is-not-activity-7423636363196981248-N1d9</x:v>
      </x:c>
      <x:c r="V74" s="22" t="str">
        <x:v>Direct indexed original matches the exact caption and author; canonical personal profile verified from the original page.</x:v>
      </x:c>
      <x:c r="W74" s="61" t="str">
        <x:v>no</x:v>
      </x:c>
      <x:c r="X74" s="61" t="str">
        <x:v>curated_top100_workbook</x:v>
      </x:c>
      <x:c r="Y74" s="22" t="str"/>
    </x:row>
    <x:row r="75" ht="24" customHeight="1">
      <x:c r="A75" s="69" t="n">
        <x:v>74</x:v>
      </x:c>
      <x:c r="B75" s="69" t="n">
        <x:v>76</x:v>
      </x:c>
      <x:c r="C75" s="70" t="str">
        <x:v>✅ SAP Extended Warehouse Management (EWM) - Tcodes
❌ No more wasted time with endless SAP menus.
➡️ Use these SAP EWM T-codes for a faster workflow.
This cheat sheet breaks down SAP EWM T-codes into clear categories for faster navigation and smooth operations.
➟ Find the right transaction codes fast
➟ Navigate SAP without guessing
➟ Speed up daily tasks and cut errors
Why scroll? Grab the codes. Own your workflow.
___________________
Found this helpful ? ♻️ Repost it to HELP your network something new and follow along with Onesphore RAKOTOMALALA and OR Insights for more !</x:v>
      </x:c>
      <x:c r="D75" s="61" t="str">
        <x:v>452b069bedbe6da6a7cfd6ad0ce1b83d17e613f889ce01a044a41f143901ecbc</x:v>
      </x:c>
      <x:c r="E75" s="61" t="str">
        <x:v>74.jpeg</x:v>
      </x:c>
      <x:c r="F75" s="61" t="str">
        <x:v>/Users/tigershetty/Documents/Codex/2026-06-30/ho/Codex-Linkedin-V3/infographic-setup/references/top 100/74.jpeg</x:v>
      </x:c>
      <x:c r="G75" s="61" t="str">
        <x:v>127ca601285514ab373e29eaa6162ce917b380d51aa4c015d1618d4920c05f68</x:v>
      </x:c>
      <x:c r="H75" s="64" t="b">
        <x:v>1</x:v>
      </x:c>
      <x:c r="I75" s="61"/>
      <x:c r="J75" s="61" t="str">
        <x:v>resolved</x:v>
      </x:c>
      <x:c r="K75" s="61" t="str">
        <x:v>high</x:v>
      </x:c>
      <x:c r="L75" s="61" t="str">
        <x:v>Onesphore RAKOTOMALALA</x:v>
      </x:c>
      <x:c r="M75" s="61" t="str">
        <x:v>https://www.linkedin.com/in/onesphore-rkt</x:v>
      </x:c>
      <x:c r="N75" s="61" t="str">
        <x:v>https://www.linkedin.com/posts/onesphore-rkt_sap-extended-warehouse-management-ewm-activity-7424725973817831426-lnud</x:v>
      </x:c>
      <x:c r="O75" s="62"/>
      <x:c r="P75" s="61" t="str">
        <x:v>Onesphore RAKOTOMALALA</x:v>
      </x:c>
      <x:c r="Q75" s="61" t="str"/>
      <x:c r="R75" s="61" t="str">
        <x:v>OR Insights</x:v>
      </x:c>
      <x:c r="S75" s="61" t="str">
        <x:v>direct_scm</x:v>
      </x:c>
      <x:c r="T75" s="61" t="str">
        <x:v>no</x:v>
      </x:c>
      <x:c r="U75" s="61" t="str">
        <x:v>https://www.linkedin.com/posts/onesphore-rkt_sap-extended-warehouse-management-ewm-activity-7424725973817831426-lnud</x:v>
      </x:c>
      <x:c r="V75" s="22" t="str">
        <x:v>Exact caption match; earlier variants exist. Canonical author profile verified from the original page.</x:v>
      </x:c>
      <x:c r="W75" s="61" t="str">
        <x:v>no</x:v>
      </x:c>
      <x:c r="X75" s="61" t="str">
        <x:v>curated_top100_workbook</x:v>
      </x:c>
      <x:c r="Y75" s="22" t="str"/>
    </x:row>
    <x:row r="76" ht="24" customHeight="1">
      <x:c r="A76" s="69" t="n">
        <x:v>75</x:v>
      </x:c>
      <x:c r="B76" s="69" t="n">
        <x:v>77</x:v>
      </x:c>
      <x:c r="C76" s="70" t="str">
        <x:v>I posted for 6 months on LinkedIn, no results.
(this is how I accelerated to 66k+ followers)
I was posting random content. A little AI. Some marketing tips. A few hot takes.
Nothing stuck.
Then I found my Zone of Genius.
It's the intersection of 3 things:
↳ What you enjoy doing
↳ What you're good at
↳ What the world needs
Once I nailed this, everything clicked.
Here's how to find yours 👇
𝟭) 𝗔𝘀𝗸 𝘆𝗼𝘂𝗿𝘀𝗲𝗹𝗳 𝘁𝗵𝗲𝘀𝗲 𝗾𝘂𝗲𝘀𝘁𝗶𝗼𝗻𝘀
↳ What comes naturally to me?
↳ What do I lose track of time doing?
↳ What do people ask me for help with?
𝟮) 𝗦𝗽𝗼𝘁 𝘁𝗵𝗲 𝗼𝘃𝗲𝗿𝗹𝗮𝗽
↳ Your Zone of Genius sits where all 3 answers meet
↳ This is your content sweet spot
↳ Post here and you'll never run out of ideas
𝟯) 𝗚𝗼 𝗱𝗲𝗲𝗽, 𝗻𝗼𝘁 𝘄𝗶𝗱𝗲
↳ Write a 1-3 sentence description of your Zone
↳ One sentence on how it could show up in posts
↳ Keep it clear, practical, and concrete
Most creators post about everything.
That's why they grow slow.
Find your Zone of Genius first.
Then build habits, optimize your profile, create a content calendar, and nail your funnel.
But none of that works without knowing what you're actually here to talk about.
Save this. Share it with someone stuck at zero.
P.S. What's your Zone of Genius? Drop it below 👇</x:v>
      </x:c>
      <x:c r="D76" s="61" t="str">
        <x:v>4038e5093e37f76ac42a9c0eb38af1660199726596c294d341fd804ce3a9ad69</x:v>
      </x:c>
      <x:c r="E76" s="61" t="str"/>
      <x:c r="F76" s="61" t="str"/>
      <x:c r="G76" s="61" t="str"/>
      <x:c r="H76" s="64" t="b">
        <x:v>0</x:v>
      </x:c>
      <x:c r="I76" s="61"/>
      <x:c r="J76" s="61" t="str">
        <x:v>resolved</x:v>
      </x:c>
      <x:c r="K76" s="61" t="str">
        <x:v>high</x:v>
      </x:c>
      <x:c r="L76" s="61" t="str">
        <x:v>MJ Jaindl</x:v>
      </x:c>
      <x:c r="M76" s="61" t="str">
        <x:v>https://www.linkedin.com/in/jaindl</x:v>
      </x:c>
      <x:c r="N76" s="61" t="str">
        <x:v>https://www.linkedin.com/posts/jaindl_i-posted-for-6-months-on-linkedin-no-results-activity-7453047525629980672-W-Yr</x:v>
      </x:c>
      <x:c r="O76" s="62"/>
      <x:c r="P76" s="61" t="str">
        <x:v>MJ Jaindl</x:v>
      </x:c>
      <x:c r="Q76" s="61" t="str"/>
      <x:c r="R76" s="61" t="str">
        <x:v>Stanley</x:v>
      </x:c>
      <x:c r="S76" s="61" t="str">
        <x:v>external_transferable</x:v>
      </x:c>
      <x:c r="T76" s="61" t="str">
        <x:v>no</x:v>
      </x:c>
      <x:c r="U76" s="61" t="str">
        <x:v>https://www.linkedin.com/posts/jaindl_i-posted-for-6-months-on-linkedin-no-results-activity-7453047525629980672-W-Yr</x:v>
      </x:c>
      <x:c r="V76" s="22" t="str">
        <x:v>Exact caption and brand match.</x:v>
      </x:c>
      <x:c r="W76" s="61" t="str">
        <x:v>no</x:v>
      </x:c>
      <x:c r="X76" s="61" t="str">
        <x:v>curated_top100_workbook</x:v>
      </x:c>
      <x:c r="Y76" s="22" t="str"/>
    </x:row>
    <x:row r="77" ht="24" customHeight="1">
      <x:c r="A77" s="69" t="n">
        <x:v>76</x:v>
      </x:c>
      <x:c r="B77" s="69" t="n">
        <x:v>78</x:v>
      </x:c>
      <x:c r="C77" s="70" t="str">
        <x:v>Supply Chain Grid: Assess Maturity, Unlock Excellence
Many companies talk about Supply Chain maturity, but few have mapped every step required for true transformation. Progress isn’t about gut feel, it’s about continuous assessment across every domain, with practical, measurable actions.
Here’s my go-to reference, a grid (roadmap) that Supply Chain professionals can use to benchmark and drive improvement:
1️⃣ Strategy
🚩Is your strategy documented
🚩Aligned to business goals
🚩 Fully cascaded
🚩Are KPIs reviewed,
🚩Leadership engaged,
🚩Is CI in Supply Chain DNA 
2️⃣ SC Planning
🚩Demand and supply plans sync
🚩Is forecast accuracy measured / used
🚩Is production planning data-driven
🚩Contingency planning in place
3️⃣ Sourcing
🚩Are supplier selection standardized 
Regular supplier performance reviews 
🚩How strong is risk management,
🚩Strategic partnerships and audits routine driving improvement not just compliance
4️⃣ Customer Management
🚩 Is order processing automated
🚩 Customers see real-time order status
🚩Are SLAs meaningful
🚩Do you manage exceptions when things go off track
5️⃣ External Logistics
🚩Do you track carrier qualifications
🚩Shipment visibility
🚩Freight optimization
🚩Transport risks addressed
6️⃣ Internal Logistics
🚩Are internal workflows mapped
🚩Tools like AGVs/RFID deployed
🚩 Bottlenecks analyzed
🚩Staff regularly trained
7️⃣ Warehousing
🚩Are warehouse layouts efficient
🚩Is WMS active
🚩Are cycle counts robust
🚩Picking accuracy tracked
🚩Safety walks punctual
8️⃣ Inventory Management
🚩Is inventory tracked by SKU
🚩Safety stock policy reviewed
🚩 Obsolescence managed
🚩 Physical counts reconciled
9️⃣ Materials Planning
🚩Are requirements model-driven
🚩MRP reviewed
🚩Supplier lead times monitored
🚩Shortages systematically tracked
1️⃣0️⃣ Production
🚩Is schedule adherence a metric
🚩Are quality/yield KPIs, flexibility, and root-cause analysis at the heart of your daily routine
1️⃣1️⃣ Delivery Planning
🚩Is delivery planning integrated
🚩Last-mile tracked, 
🚩Routing/scheduling tools leveraged
🚩Communication seamless
1️⃣2️⃣ Aftermarket, Sustainability
🚩Are returns standardized
🚩Sustainability metrics tracked
🚩Reverse logistics launched, 
🚩Aftermarket waste measured
1️⃣3️⃣ Technology
🚩Are ERP systems deployed
🚩Is data accurate
🚩Dashboards used for decisions
🚩Integration strong
🚩Upgrades routine
1️⃣4️⃣ People &amp; Organization
🚩Are skills matrices standard
🚩R&amp;R defined clearly
🚩Is change management supported
🚩Engagement measured
Every domain offers practical checkpoints, more than theory, they’re action items for building resilient, future-proof supply chains. If you aren’t measuring maturity, you’re missing out full potential of Excellence.
_______________________________
*Please Follow + Like, leave a meaningful comment (NOT an email address) &amp; message me within LinkedIn to get the file</x:v>
      </x:c>
      <x:c r="D77" s="61" t="str">
        <x:v>c4a06eecda29a9bee9ca3570d081d56cf08f2e0d457632140d5daae4042c26e0</x:v>
      </x:c>
      <x:c r="E77" s="61" t="str">
        <x:v>76.jpeg</x:v>
      </x:c>
      <x:c r="F77" s="61" t="str">
        <x:v>/Users/tigershetty/Documents/Codex/2026-06-30/ho/Codex-Linkedin-V3/infographic-setup/references/top 100/76.jpeg</x:v>
      </x:c>
      <x:c r="G77" s="61" t="str">
        <x:v>db39a9164e26c9df85ca4e8e75d2abe1bcb0ac00e5a55168c3f013f40d99316d</x:v>
      </x:c>
      <x:c r="H77" s="64" t="b">
        <x:v>1</x:v>
      </x:c>
      <x:c r="I77" s="61"/>
      <x:c r="J77" s="61" t="str">
        <x:v>resolved</x:v>
      </x:c>
      <x:c r="K77" s="61" t="str">
        <x:v>high</x:v>
      </x:c>
      <x:c r="L77" s="61" t="str">
        <x:v>Alper Ozel</x:v>
      </x:c>
      <x:c r="M77" s="61" t="str">
        <x:v>https://www.linkedin.com/in/alper-ozel-723ab511</x:v>
      </x:c>
      <x:c r="N77" s="61" t="str">
        <x:v>https://www.linkedin.com/posts/alper-ozel-723ab511_supply-chain-grid-assess-maturity-unlock-activity-7433021723471601664-quyq</x:v>
      </x:c>
      <x:c r="O77" s="62"/>
      <x:c r="P77" s="61" t="str">
        <x:v>Alper Ozel</x:v>
      </x:c>
      <x:c r="Q77" s="61" t="str"/>
      <x:c r="R77" s="61" t="str">
        <x:v>Alper Ozel</x:v>
      </x:c>
      <x:c r="S77" s="61" t="str">
        <x:v>direct_scm</x:v>
      </x:c>
      <x:c r="T77" s="61" t="str">
        <x:v>no</x:v>
      </x:c>
      <x:c r="U77" s="61" t="str">
        <x:v>https://www.linkedin.com/posts/alper-ozel-723ab511_supply-chain-grid-assess-maturity-unlock-activity-7433021723471601664-quyq</x:v>
      </x:c>
      <x:c r="V77" s="22" t="str">
        <x:v>Caption/date match selected over a newer repost.</x:v>
      </x:c>
      <x:c r="W77" s="61" t="str">
        <x:v>no</x:v>
      </x:c>
      <x:c r="X77" s="61" t="str">
        <x:v>curated_top100_workbook</x:v>
      </x:c>
      <x:c r="Y77" s="22" t="str"/>
    </x:row>
    <x:row r="78" ht="24" customHeight="1">
      <x:c r="A78" s="69" t="n">
        <x:v>77</x:v>
      </x:c>
      <x:c r="B78" s="69" t="n">
        <x:v>79</x:v>
      </x:c>
      <x:c r="C78" s="70" t="str">
        <x:v>📦 Essential Logistics KPIs (With Formulas) — Track Smarter, Operate Better
Most teams track KPIs… but the real value comes when you understand, connect, and act on them.
Here’s a practical breakdown 👇
---
🚚 On-Time Delivery (OTD)
Measures reliability and customer trust
Formula:
OTD % = (On-Time Deliveries ÷ Total Deliveries) × 100
👉 Target: ≥ 95%
---
🧾 Order Accuracy
Ensures error-free fulfillment
Formula:
Accuracy % = (Correct Orders ÷ Total Orders) × 100
👉 Every mistake = cost + reputation hit
---
📊 Inventory Turnover
Reflects how efficiently inventory is managed
Formula:
Inventory Turnover = COGS ÷ Average Inventory
👉 Low = overstock | High = stockout risk
---
🏬 Warehouse Utilization
Tracks effective use of storage capacity
Formula:
Utilization % = (Used Storage Space ÷ Total Capacity) × 100
👉 Sweet spot: 80–85%
---
📦 Freight Cost per Unit
Controls transportation expenses
Formula:
Cost per Unit = Total Freight Cost ÷ Units Shipped
👉 Track by lane, customer, and product
---
✅ Perfect Order Rate
Measures true service quality (on time + accurate + no damage + correct docs)
Formula:
Perfect Order % = (Orders with No Issues ÷ Total Orders) × 100
---
⏱ Cycle Time
Time from order receipt to final delivery
Formula:
Cycle Time = Delivery Date − Order Receipt Date
👉 Break it down: processing | picking | transit
---
📍 Dock-to-Stock Time
Speed of moving goods from receiving to storage
Formula:
Dock-to-Stock Time = Storage Time − Receiving Time
👉 Slow here = hidden stockouts
---
💡 The Real Insight (Don’t Miss This):
These KPIs are connected:
- Low OTD? → Check Cycle Time + Dock-to-Stock
- High Freight Cost? → Check Utilization + Consolidation
- Low Perfect Order Rate? → Check Accuracy + Warehouse Process
---
📈 Bonus KPIs to Level Up:
- Fill Rate = (Units Shipped ÷ Units Ordered) × 100
- Return Rate = (Returned Units ÷ Units Shipped) × 100
- Cost per Order = Total Logistics Cost ÷ Total Orders
---
🎯 Bottom Line:
Tracking KPIs is easy.
Understanding how they interact is what drives real operational excellence.</x:v>
      </x:c>
      <x:c r="D78" s="61" t="str">
        <x:v>02ed6bac764d3c306a675a9cf211496ffc3117571949e290f82925f42f8ccb68</x:v>
      </x:c>
      <x:c r="E78" s="61" t="str">
        <x:v>77.jpeg</x:v>
      </x:c>
      <x:c r="F78" s="61" t="str">
        <x:v>/Users/tigershetty/Documents/Codex/2026-06-30/ho/Codex-Linkedin-V3/infographic-setup/references/top 100/77.jpeg</x:v>
      </x:c>
      <x:c r="G78" s="61" t="str">
        <x:v>c67c177435ecacabe60e2167e072ccc0ab5ee2fa58c6bf1992baed79bc5c71d4</x:v>
      </x:c>
      <x:c r="H78" s="64" t="b">
        <x:v>1</x:v>
      </x:c>
      <x:c r="I78" s="61"/>
      <x:c r="J78" s="61" t="str">
        <x:v>resolved</x:v>
      </x:c>
      <x:c r="K78" s="61" t="str">
        <x:v>high</x:v>
      </x:c>
      <x:c r="L78" s="61" t="str">
        <x:v>Fouad Enba</x:v>
      </x:c>
      <x:c r="M78" s="61" t="str">
        <x:v>https://www.linkedin.com/in/fouad317</x:v>
      </x:c>
      <x:c r="N78" s="61" t="str">
        <x:v>https://www.linkedin.com/posts/fouad317_logistics-supplychain-operations-activity-7450581283635720193-A7Ve</x:v>
      </x:c>
      <x:c r="O78" s="62" t="str">
        <x:v>2026-04-16</x:v>
      </x:c>
      <x:c r="P78" s="61" t="str">
        <x:v>Fouad Enba</x:v>
      </x:c>
      <x:c r="Q78" s="61" t="str"/>
      <x:c r="R78" s="61" t="str">
        <x:v>Fouad Enba</x:v>
      </x:c>
      <x:c r="S78" s="61" t="str">
        <x:v>direct_scm</x:v>
      </x:c>
      <x:c r="T78" s="61" t="str">
        <x:v>no</x:v>
      </x:c>
      <x:c r="U78" s="61" t="str">
        <x:v>https://www.linkedin.com/posts/fouad317_logistics-supplychain-operations-activity-7450581283635720193-A7Ve</x:v>
      </x:c>
      <x:c r="V78" s="22" t="str">
        <x:v>Exact caption and local visual match the public original; no separate visual credit is visible.</x:v>
      </x:c>
      <x:c r="W78" s="61" t="str">
        <x:v>no</x:v>
      </x:c>
      <x:c r="X78" s="61" t="str">
        <x:v>curated_top100_workbook</x:v>
      </x:c>
      <x:c r="Y78" s="22" t="str"/>
    </x:row>
    <x:row r="79" ht="24" customHeight="1">
      <x:c r="A79" s="69" t="n">
        <x:v>78</x:v>
      </x:c>
      <x:c r="B79" s="69" t="n">
        <x:v>80</x:v>
      </x:c>
      <x:c r="C79" s="70" t="str">
        <x:v>🚨 Breaking: Anthropic just launched Claude Design. 
I spent the weekend testing it. Here's what you need to know: 
I really can't say it enough... now is the time to build alone. 
Claude is challenging every other tool you can think of: 
Figma, Google Workspace, Microsoft Office, Replit, Lovable, Gamma... 
And has put them all together in one tool. 
Sure, we're in a bubble. But it's one you can take advantage of ! 
There will never be a better time to be a solo builder.
Here's everything you need to know about Claude Design: 
What it is
↳ You describe the idea, and Claude builds it in code.
↳ Think of it as a skilled designer who hands you finished work. 
Why it matters
↳ Once code is cheap, everything built from code is cheap. 
↳ Speed is the new moat. No more waiting weeks for agency results. 
You can read Anthropic's full announcement here:
https://lnkd.in/gdTBbZeP
I've created a sheet that summarises most of this. 
Check it out for the full rundown of Claude Design so far 👇
The honest rankings after testing every feature:
🖼️ Wireframes and Prototypes: 10/10
↳ Best in class. Three distinct directions in four minutes. 
📣 Pitch Decks and Slides: 9/10
↳ Better than most agencies produce in a week.
💻 Landing Pages and Marketing Sites: 8/10
↳ Copy needs a pass, design hits 80 to 90% first try.
📲 Mobile App Designs: 7/10
↳ Genuinely good. Builds a clear MVP in four minutes. 
🎨 Design Systems: 6/10
↳ Useful if you upload a Figma kit to ground it. 
📹 Animated Videos: 4/10
↳ Not there yet. Use a dedicated AI video tool instead.
The workflow that actually works:
1. Start with a wireframe. 
↳ Catch product issues before you burn tokens on visuals.
2. Always ask for multiple directions. 
↳ Get 3, pick 1, push to hi-fi. Never commit to the first draft.
3. Ground it in context first. 
↳ Upload your Figma file, screenshots, or a reference site before you prompt.
4. One task at a time. 
↳ Running parallel prompts breaks the session.
5. Claude does 90%. You do the last 10%. 
↳ That's where your taste comes into play. 
Here's the official starting guide for more details: 
https://lnkd.in/gtBhd_tB
🚫 When not to use it:
Video ads, hyper-realistic imagery, 3D work, or production-ready code. 
Design is for speed and direction. It's not the final mile.
+ check out the sheet for what you can build with Design...
And how to set it up with your brand guidelines.
The full knowledge work stack is now in play.
One person with Claude can now do what used to require a whole team. 
It's a designer, a developer, a slide deck specialist, and a copywriter in one. 
So the only question left now is...
What are you going to build first?
----
📌 If you want a high-res PDF of this guide:
1. Follow Chris Donnelly
2. Save the post.
3. Repost to your network.
4. Subscribe to: https://lnkd.in/eUTCQTWb</x:v>
      </x:c>
      <x:c r="D79" s="61" t="str">
        <x:v>a66a77a1462aa9d49834e24773e0897735cac9cec292085ead7c7438a9028011</x:v>
      </x:c>
      <x:c r="E79" s="61" t="str">
        <x:v>78.jpeg</x:v>
      </x:c>
      <x:c r="F79" s="61" t="str">
        <x:v>/Users/tigershetty/Documents/Codex/2026-06-30/ho/Codex-Linkedin-V3/infographic-setup/references/top 100/78.jpeg</x:v>
      </x:c>
      <x:c r="G79" s="61" t="str">
        <x:v>d1e4999b14d3e2e58cb363ef078955c76579dbdc46c56a33ae973a3a82055f42</x:v>
      </x:c>
      <x:c r="H79" s="64" t="b">
        <x:v>1</x:v>
      </x:c>
      <x:c r="I79" s="61"/>
      <x:c r="J79" s="61" t="str">
        <x:v>resolved</x:v>
      </x:c>
      <x:c r="K79" s="61" t="str">
        <x:v>high</x:v>
      </x:c>
      <x:c r="L79" s="61" t="str">
        <x:v>Chris Donnelly</x:v>
      </x:c>
      <x:c r="M79" s="61" t="str">
        <x:v>https://www.linkedin.com/in/donnellychris</x:v>
      </x:c>
      <x:c r="N79" s="61" t="str">
        <x:v>https://www.linkedin.com/posts/donnellychris_breaking-anthropic-just-launched-claude-activity-7451961814654881793-crVI</x:v>
      </x:c>
      <x:c r="O79" s="62"/>
      <x:c r="P79" s="61" t="str">
        <x:v>Chris Donnelly</x:v>
      </x:c>
      <x:c r="Q79" s="61" t="str"/>
      <x:c r="R79" s="61" t="str">
        <x:v>Chris Donnelly</x:v>
      </x:c>
      <x:c r="S79" s="61" t="str">
        <x:v>implementation_adjacent</x:v>
      </x:c>
      <x:c r="T79" s="61" t="str">
        <x:v>no</x:v>
      </x:c>
      <x:c r="U79" s="61" t="str">
        <x:v>https://www.linkedin.com/posts/donnellychris_breaking-anthropic-just-launched-claude-activity-7451961814654881793-crVI</x:v>
      </x:c>
      <x:c r="V79" s="22" t="str">
        <x:v>Exact caption match.</x:v>
      </x:c>
      <x:c r="W79" s="61" t="str">
        <x:v>no</x:v>
      </x:c>
      <x:c r="X79" s="61" t="str">
        <x:v>curated_top100_workbook</x:v>
      </x:c>
      <x:c r="Y79" s="22" t="str"/>
    </x:row>
    <x:row r="80" ht="24" customHeight="1">
      <x:c r="A80" s="69" t="n">
        <x:v>79</x:v>
      </x:c>
      <x:c r="B80" s="69" t="n">
        <x:v>81</x:v>
      </x:c>
      <x:c r="C80" s="70" t="str">
        <x:v>The Complete Claude Code Breakdown
𝗕𝗲𝗰𝗼𝗺𝗲 𝗯𝗲𝘁𝘁𝗲𝗿 𝗮𝘁 𝗔𝗜 𝗶𝗻 𝗷𝘂𝘀𝘁 𝟭 𝗺𝗶𝗻𝘂𝘁𝗲 𝗮 𝗱𝗮𝘆.
𝗚𝗲𝘁 𝘁𝗵𝗲 𝗔𝗜 𝗻𝗲𝘄𝘀𝗹𝗲𝘁𝘁𝗲𝗿 𝘀𝗺𝗮𝗿𝘁 𝗹𝗲𝗮𝗱𝗲𝗿𝘀 𝗿𝗲𝗮𝗱.
𝗦𝗶𝗴𝗻 𝘂𝗽 𝗳𝗿𝗲𝗲 𝗻𝗼𝘄 → aiforleaders.com
Original post:
__________
Most developers are using Claude Code at 10% capacity.
This cheat sheet fixes that (save it):
1 - Setup (Start Fast)
Install and launch in seconds.
☑ Command:
curl -fsSL https://lnkd.in/d9XEi3tc
 | bash
Then:
cd your-project
claude /init
Creates your workspace + memory file instantly.
2 - Claude Code (Agent Mode)
Autonomous AI that builds and debugs code.
☑ Best for:
Full-stack apps, refactors, large codebases
It writes, runs, and fixes everything.
3 - Claude AI (Chat Mode)
Interface for thinking, not building.
☑ Best for:
Research, ideas, exploration
Use this before execution.
4 - Claude Cowork (Hybrid Mode)
Chat + agent workflows combined.
☑ Best for:
Docs, planning, iterative builds
Think → Build → Refine in one loop.
5 - File Structure (System Thinking)
Your repo becomes an AI workspace.
☑ Key files:
CLAUDE.md → memory + context
skills/ → reusable capabilities
agents/ → specialized roles
Structure = better outputs.
6 - Workflows (Execution Engine)
Sequential → Step-by-step tasks
Parallel → Multiple agents at once
Self-reflection → Auto-debug loop
☑ Use cases:
Sequential → strict processes
Parallel → speed + scale
Self-reflection → accuracy
7 - Hooks (Automation Layer)
Run scripts before actions.
☑ Example:
PreToolUse → trigger bash scripts
Adds guardrails + automation.
8 - Skills (Reusable Intelligence)
Save prompts + tools once.
☑ Example:
Testing patterns, code review logic
No repetition. Just reuse.
9 - Commands (Speed Control)
Run actions instantly.
☑ Examples:
/compact → reduce noise
/clear → reset context
/model → switch models
10 - Memory Layer (Context Engine)
Tracks everything across your codebase.
☑ Types:
In-context → current session
Auto memory → learned patterns
Claude.md → persistent brain
This is the real power.
Stop using AI like a chatbot.
Start using it like a system.
AI is now your dev environment
Structure beats prompting
Agents replace workflows
Credit to Maryam Asim. Follow her for more.</x:v>
      </x:c>
      <x:c r="D80" s="61" t="str">
        <x:v>c9eb2be13bfe33d042e3fbc54f4c3e1c0364e6cb0d5487c5288e1d5af22d8010</x:v>
      </x:c>
      <x:c r="E80" s="61" t="str">
        <x:v>79.jpeg</x:v>
      </x:c>
      <x:c r="F80" s="61" t="str">
        <x:v>/Users/tigershetty/Documents/Codex/2026-06-30/ho/Codex-Linkedin-V3/infographic-setup/references/top 100/79.jpeg</x:v>
      </x:c>
      <x:c r="G80" s="61" t="str">
        <x:v>0817cb0cdfd11a696579e6b261694c5f23786cc660a685742a724bc77dcf6852</x:v>
      </x:c>
      <x:c r="H80" s="64" t="b">
        <x:v>1</x:v>
      </x:c>
      <x:c r="I80" s="61"/>
      <x:c r="J80" s="61" t="str">
        <x:v>resolved</x:v>
      </x:c>
      <x:c r="K80" s="61" t="str">
        <x:v>high</x:v>
      </x:c>
      <x:c r="L80" s="61" t="str">
        <x:v>AI For Leaders</x:v>
      </x:c>
      <x:c r="M80" s="61" t="str">
        <x:v>https://www.linkedin.com/company/aiforleaders</x:v>
      </x:c>
      <x:c r="N80" s="61" t="str">
        <x:v>https://www.linkedin.com/posts/aiforleaders_the-complete-claude-code-breakdown-%F0%9D%97%95%F0%9D%97%B2%F0%9D%97%B0%F0%9D%97%BC%F0%9D%97%BA%F0%9D%97%B2-activity-7450845523378540544-lY8X</x:v>
      </x:c>
      <x:c r="O80" s="62"/>
      <x:c r="P80" s="61" t="str">
        <x:v>Maryam Asim</x:v>
      </x:c>
      <x:c r="Q80" s="61" t="str"/>
      <x:c r="R80" s="61" t="str">
        <x:v>Maryam Asim</x:v>
      </x:c>
      <x:c r="S80" s="61" t="str">
        <x:v>implementation_adjacent</x:v>
      </x:c>
      <x:c r="T80" s="61" t="str">
        <x:v>no</x:v>
      </x:c>
      <x:c r="U80" s="61" t="str">
        <x:v>https://www.linkedin.com/posts/aiforleaders_the-complete-claude-code-breakdown-%F0%9D%97%95%F0%9D%97%B2%F0%9D%97%B0%F0%9D%97%BC%F0%9D%97%BA%F0%9D%97%B2-activity-7450845523378540544-lY8X</x:v>
      </x:c>
      <x:c r="V80" s="22" t="str">
        <x:v>Company-page poster and credited visual creator are intentionally separate.</x:v>
      </x:c>
      <x:c r="W80" s="61" t="str">
        <x:v>no</x:v>
      </x:c>
      <x:c r="X80" s="61" t="str">
        <x:v>curated_top100_workbook</x:v>
      </x:c>
      <x:c r="Y80" s="22" t="str"/>
    </x:row>
    <x:row r="81" ht="24" customHeight="1">
      <x:c r="A81" s="69" t="n">
        <x:v>80</x:v>
      </x:c>
      <x:c r="B81" s="69" t="n">
        <x:v>82</x:v>
      </x:c>
      <x:c r="C81" s="70" t="str">
        <x:v>If Claude feels wrong.
You’re probably the problem.
I've been using Claude Code daily for months now.
One thing became obvious fast:
When Claude gives you inconsistent results, it's almost always your setup. Not the model.
Here's what I changed that made the difference:
And if you want to make money with Claude and start an AI agency, check this out: https://lnkd.in/dYb4u6sE
𝗖𝗟𝗔𝗨𝗗𝗘.𝗺𝗱
Stop leaving it empty. Define your stack, architecture, and conventions. Claude reads it first every session. Treat it like onboarding docs for a new engineer.
𝗖𝗟𝗔𝗨𝗗𝗘.𝗹𝗼𝗰𝗮𝗹.𝗺𝗱
Keep your personal preferences out of the shared project file. Your workflow shouldn't break your teammates'.
𝗺𝗰𝗽.𝗷𝘀𝗼𝗻
Configure it once. GitHub, JIRA, Slack, databases. All connected, version-controlled. No more re-explaining your tooling every session.
.𝗰𝗹𝗮𝘂𝗱𝗲/𝘀𝗲𝘁𝘁𝗶𝗻𝗴𝘀.𝗷𝘀𝗼𝗻 
Hooks for validation, linting, and blocking unsafe operations. PreToolUse and PostToolUse guardrails that run automatically so you catch problems before they ship.
.𝗰𝗹𝗮𝘂𝗱𝗲/𝗰𝗼𝗺𝗺𝗮𝗻𝗱𝘀/
Slash commands for recurring workflows. One keystroke runs your entire review or deploy process. No more copy-pasting the same prompt.
.𝗰𝗹𝗮𝘂𝗱𝗲/𝘀𝗸𝗶𝗹𝗹𝘀/
Reusable workflows that load only when needed. Testing patterns, deploy checklists, API conventions. Auto-triggered by context or invoked with /skill-name. 
.𝗰𝗹𝗮𝘂𝗱𝗲/𝗮𝗴𝗲𝗻𝘁𝘀/
Specialized sub-agents with isolated context. Code review, security, and docs. Each has its own scope instead of one overloaded conversation.
Your Claude Code setup is either working for your team or against it.
Structure it once. Benefit from it every day after.
What would you add to this list?</x:v>
      </x:c>
      <x:c r="D81" s="61" t="str">
        <x:v>b382ee3b9a1cc8381e9418970520117b5fda65dce3f261b568f88478014b90af</x:v>
      </x:c>
      <x:c r="E81" s="61" t="str">
        <x:v>80.jpeg</x:v>
      </x:c>
      <x:c r="F81" s="61" t="str">
        <x:v>/Users/tigershetty/Documents/Codex/2026-06-30/ho/Codex-Linkedin-V3/infographic-setup/references/top 100/80.jpeg</x:v>
      </x:c>
      <x:c r="G81" s="61" t="str">
        <x:v>45b7ca9c3e9ea016fea3491e8edf544b562c561822a4180279caa806c0fdf121</x:v>
      </x:c>
      <x:c r="H81" s="64" t="b">
        <x:v>1</x:v>
      </x:c>
      <x:c r="I81" s="61"/>
      <x:c r="J81" s="61" t="str">
        <x:v>resolved</x:v>
      </x:c>
      <x:c r="K81" s="61" t="str">
        <x:v>high</x:v>
      </x:c>
      <x:c r="L81" s="61" t="str">
        <x:v>Giovanni Beggiato</x:v>
      </x:c>
      <x:c r="M81" s="61" t="str">
        <x:v>https://www.linkedin.com/in/giovanni-beggiato</x:v>
      </x:c>
      <x:c r="N81" s="61" t="str">
        <x:v>https://www.linkedin.com/posts/giovanni-beggiato_if-claude-feels-wrong-youre-probably-the-activity-7455209344322768896--D7f</x:v>
      </x:c>
      <x:c r="O81" s="62"/>
      <x:c r="P81" s="61" t="str">
        <x:v>Brij Kishore Pandey</x:v>
      </x:c>
      <x:c r="Q81" s="61" t="str"/>
      <x:c r="R81" s="61" t="str">
        <x:v>Brij Kishore Pandey</x:v>
      </x:c>
      <x:c r="S81" s="61" t="str">
        <x:v>implementation_adjacent</x:v>
      </x:c>
      <x:c r="T81" s="61" t="str">
        <x:v>no</x:v>
      </x:c>
      <x:c r="U81" s="61" t="str">
        <x:v>https://www.linkedin.com/posts/giovanni-beggiato_if-claude-feels-wrong-youre-probably-the-activity-7455209344322768896--D7f</x:v>
      </x:c>
      <x:c r="V81" s="22" t="str">
        <x:v>Posting author and visual credit separated.</x:v>
      </x:c>
      <x:c r="W81" s="61" t="str">
        <x:v>no</x:v>
      </x:c>
      <x:c r="X81" s="61" t="str">
        <x:v>curated_top100_workbook</x:v>
      </x:c>
      <x:c r="Y81" s="22" t="str"/>
    </x:row>
    <x:row r="82" ht="24" customHeight="1">
      <x:c r="A82" s="69" t="n">
        <x:v>81</x:v>
      </x:c>
      <x:c r="B82" s="69" t="n">
        <x:v>83</x:v>
      </x:c>
      <x:c r="C82" s="70" t="str">
        <x:v>✅ SAP SD T-Codes for Supply Chain Professionals
This quick guide simplifies daily tasks in SAP Sales and Distribution (SD), from customer management to billing, delivery, and beyond.
Here’s a snapshot of what’s included:
➝ Managing Customer Master Data: Central, Sales, &amp; Accounting Views
➝ Processing Sales Orders: Creation, Change, &amp; List Management
➝ Handling Outbound Deliveries and Goods Issues
➝ Billing: From Creation to Collective Processing
➝ Managing Pricing, Conditions, and Contracts
➝ Reporting, Analysis, and Availability Check
P.S. What's the one SAP SD code you can't work without?
________
Found this helpful ? ♻️ Repost it to HELP your network something new and follow along with Onesphore RAKOTOMALALA and OR Insights for more !</x:v>
      </x:c>
      <x:c r="D82" s="61" t="str">
        <x:v>559e12262b088b0a1a6532093093e2f2dfe4d5859f6a54dbfe8702e4a0208c15</x:v>
      </x:c>
      <x:c r="E82" s="61" t="str">
        <x:v>81.jpeg</x:v>
      </x:c>
      <x:c r="F82" s="61" t="str">
        <x:v>/Users/tigershetty/Documents/Codex/2026-06-30/ho/Codex-Linkedin-V3/infographic-setup/references/top 100/81.jpeg</x:v>
      </x:c>
      <x:c r="G82" s="61" t="str">
        <x:v>ed09f4aff264f2dfe5a8fdf62ba8c74c3035b2697a698e0bc12466fe5c3ef789</x:v>
      </x:c>
      <x:c r="H82" s="64" t="b">
        <x:v>1</x:v>
      </x:c>
      <x:c r="I82" s="61"/>
      <x:c r="J82" s="61" t="str">
        <x:v>resolved</x:v>
      </x:c>
      <x:c r="K82" s="61" t="str">
        <x:v>high</x:v>
      </x:c>
      <x:c r="L82" s="61" t="str">
        <x:v>Onesphore RAKOTOMALALA</x:v>
      </x:c>
      <x:c r="M82" s="61" t="str">
        <x:v>https://www.linkedin.com/in/onesphore-rkt</x:v>
      </x:c>
      <x:c r="N82" s="61" t="str">
        <x:v>https://www.linkedin.com/posts/onesphore-rkt_sap-sd-t-codes-for-supply-chain-professionals-activity-7451270751556419584-letS</x:v>
      </x:c>
      <x:c r="O82" s="62"/>
      <x:c r="P82" s="61" t="str">
        <x:v>Onesphore RAKOTOMALALA</x:v>
      </x:c>
      <x:c r="Q82" s="61" t="str"/>
      <x:c r="R82" s="61" t="str">
        <x:v>OR Insights</x:v>
      </x:c>
      <x:c r="S82" s="61" t="str">
        <x:v>direct_scm</x:v>
      </x:c>
      <x:c r="T82" s="61" t="str">
        <x:v>no</x:v>
      </x:c>
      <x:c r="U82" s="61" t="str">
        <x:v>https://www.linkedin.com/posts/onesphore-rkt_sap-sd-t-codes-for-supply-chain-professionals-activity-7451270751556419584-letS</x:v>
      </x:c>
      <x:c r="V82" s="22" t="str">
        <x:v>Exact caption match. Canonical author profile verified from the original page.</x:v>
      </x:c>
      <x:c r="W82" s="61" t="str">
        <x:v>no</x:v>
      </x:c>
      <x:c r="X82" s="61" t="str">
        <x:v>curated_top100_workbook</x:v>
      </x:c>
      <x:c r="Y82" s="22" t="str"/>
    </x:row>
    <x:row r="83" ht="24" customHeight="1">
      <x:c r="A83" s="69" t="n">
        <x:v>82</x:v>
      </x:c>
      <x:c r="B83" s="69" t="n">
        <x:v>84</x:v>
      </x:c>
      <x:c r="C83" s="70" t="str">
        <x:v>Inventory management looks simple on reports.
Stock levels.
Coverage days.
Reorder points.
But in reality?
It’s one of the toughest balancing acts in the supply chain.
After years in planning, one thing stands out:
👉 Inventory is not about having more stock.
👉 It’s about managing uncertainty.
Because every decision has a trade-off.
More inventory → higher cost
Less inventory → service risk
And most challenges come from:
• Demand variability
• Lead time uncertainty
• Wrong assumptions
• Lack of visibility
That’s where real control comes in.
👉 Not just tracking stock
👉 But understanding why it moves
The difference between average and strong inventory management?
👉 Average focuses on numbers
👉 Strong focuses on drivers and decisions
Because in the end —
👉 Inventory is not an asset by default
👉 It becomes one only when managed right
What’s the biggest challenge you face in inventory management?</x:v>
      </x:c>
      <x:c r="D83" s="61" t="str">
        <x:v>fc57b417dc42d3e6d34366bf9659d3172bc8aae651b96baad1cf59ee9b7f9462</x:v>
      </x:c>
      <x:c r="E83" s="61" t="str">
        <x:v>82.jpeg</x:v>
      </x:c>
      <x:c r="F83" s="61" t="str">
        <x:v>/Users/tigershetty/Documents/Codex/2026-06-30/ho/Codex-Linkedin-V3/infographic-setup/references/top 100/82.jpeg</x:v>
      </x:c>
      <x:c r="G83" s="61" t="str">
        <x:v>e9b1bcda707f5f85cc5caece2d593084533d1cde54ea76308de92f830a6132a1</x:v>
      </x:c>
      <x:c r="H83" s="64" t="b">
        <x:v>1</x:v>
      </x:c>
      <x:c r="I83" s="61"/>
      <x:c r="J83" s="61" t="str">
        <x:v>resolved</x:v>
      </x:c>
      <x:c r="K83" s="61" t="str">
        <x:v>high</x:v>
      </x:c>
      <x:c r="L83" s="61" t="str">
        <x:v>Jigar Patel</x:v>
      </x:c>
      <x:c r="M83" s="61" t="str">
        <x:v>https://www.linkedin.com/in/jigar-patel-96b4286b</x:v>
      </x:c>
      <x:c r="N83" s="61" t="str">
        <x:v>https://www.linkedin.com/posts/jigar-patel-96b4286b_supplychain-inventorymanagement-operations-activity-7449803669014945793-2fuV</x:v>
      </x:c>
      <x:c r="O83" s="62" t="str">
        <x:v>2026-04-14</x:v>
      </x:c>
      <x:c r="P83" s="61" t="str">
        <x:v>Jigar Patel</x:v>
      </x:c>
      <x:c r="Q83" s="61" t="str"/>
      <x:c r="R83" s="61" t="str">
        <x:v>Jigar Patel</x:v>
      </x:c>
      <x:c r="S83" s="61" t="str">
        <x:v>direct_scm</x:v>
      </x:c>
      <x:c r="T83" s="61" t="str">
        <x:v>no</x:v>
      </x:c>
      <x:c r="U83" s="61" t="str">
        <x:v>https://www.linkedin.com/posts/jigar-patel-96b4286b_supplychain-inventorymanagement-operations-activity-7449803669014945793-2fuV</x:v>
      </x:c>
      <x:c r="V83" s="22" t="str">
        <x:v>Public original, author, caption, and media match the local reference; this predates a later duplicate by about 45 hours.</x:v>
      </x:c>
      <x:c r="W83" s="61" t="str">
        <x:v>no</x:v>
      </x:c>
      <x:c r="X83" s="61" t="str">
        <x:v>curated_top100_workbook</x:v>
      </x:c>
      <x:c r="Y83" s="22" t="str"/>
    </x:row>
    <x:row r="84" ht="24" customHeight="1">
      <x:c r="A84" s="69" t="n">
        <x:v>83</x:v>
      </x:c>
      <x:c r="B84" s="69" t="n">
        <x:v>85</x:v>
      </x:c>
      <x:c r="C84" s="70" t="str">
        <x:v>Check out this post by Dinesh R
𝙈𝙏𝙊 – 𝙁𝙪𝙡𝙡 𝘾𝙮𝙘𝙡𝙚 𝙄𝙣𝙩𝙚𝙜𝙧𝙖𝙩𝙞𝙤𝙣: 𝙎𝘿 + 𝙈𝙈 + 𝙋𝙋 + 𝙁𝙄𝘾𝙊 + 𝙌𝙈 👇
In today’s customer-centric environment, companies win when they can deliver customized products on demand.
This is exactly where the Make to Order (MTO) strategy becomes powerful.
Unlike Make to Stock (MTS), MTO produces only after receiving a sales order, ensuring lower inventory, higher flexibility, and accurate costing.
👉 Complete MTO Process Flow (with SD + MM + PP + QM + FICO)
1️⃣ Sales Order (SD ➠ VA01)
 ⤷ Customer requirement triggers the MTO cycle.
2️⃣ MRP Run (PP ➠ MD02)
System plans required materials.
 ⤷ Generates Planned Orders (correct first output).
3️⃣ Planned Order Processing
A) Internal Production (PP)
Convert Planned Order ➠Production Order (CO01)
 ⤷ Release Order
 ⤷ Issue Components (Goods Issue -MIGO)
 ⤷ Production Order Confirmation (CO11N/CO15)
 ⤷ Goods Receipt into stock (MIGO)
B) External Procurement (MM)
Convert Planned Order ➠ Purchase Requisition
 ⤷Source determination &amp; Purchase Order creation
 ⤷Goods Receipt (GR)
 ⤷Invoice Verification (LIV – MIRO) ➠ sent to FICO for posting
4️⃣ Quality Management Integration (QM)
GR triggers QM inspection lot
Usage Decision (UD)
✔️ Pass → Stock updated
❌ Fail → Blocked stock / Rework process
5️⃣ Delivery &amp; PGI (SD)
 ⤷Delivery document creation (VL01N)
 ⤷Post Goods Issue
6️⃣ Billing (SD ➠ FICO)
 ⤷Invoice generated (VF01)
 ⤷Accounting document automatically flows to FICO
7️⃣ Result Analysis &amp; Settlement (FICO – KKA2/KO88)
 ⤷Analyze production order cost vs. revenue
 ⤷Settlement to COPA / GL for final closure
➥ Key Benefits of MTO
✔️ Lower inventory carrying cost
 ✔️ Customer-specific products with high satisfaction
 ✔️ Full traceability of production, cost, and quality
 ✔️ Better profitability with accurate RA &amp; Settlement
🤝 Community Support:
 Join the SAP Helping Hand Community – 
📍Free eBook – Top 100 SAP Companies 
#SAP#SAPPP#SAPQM#SAPSD#SAPFICO#SAPMM</x:v>
      </x:c>
      <x:c r="D84" s="61" t="str">
        <x:v>bac0657c245753d0f25ae3ab2ee395d27c721b72d32a5a18c1e1ce45f7be4e9e</x:v>
      </x:c>
      <x:c r="E84" s="61" t="str">
        <x:v>83.gif</x:v>
      </x:c>
      <x:c r="F84" s="61" t="str">
        <x:v>/Users/tigershetty/Documents/Codex/2026-06-30/ho/Codex-Linkedin-V3/infographic-setup/references/top 100/83.gif</x:v>
      </x:c>
      <x:c r="G84" s="61" t="str">
        <x:v>8663f4759d76cc4f5ca52b2db40bd8aa59a7ce0d48996523fff2ff524349cca4</x:v>
      </x:c>
      <x:c r="H84" s="64" t="b">
        <x:v>1</x:v>
      </x:c>
      <x:c r="I84" s="61"/>
      <x:c r="J84" s="61" t="str">
        <x:v>resolved</x:v>
      </x:c>
      <x:c r="K84" s="61" t="str">
        <x:v>high</x:v>
      </x:c>
      <x:c r="L84" s="61" t="str">
        <x:v>Wouter van Heddeghem</x:v>
      </x:c>
      <x:c r="M84" s="61" t="str">
        <x:v>https://www.linkedin.com/in/woutervanheddeghem</x:v>
      </x:c>
      <x:c r="N84" s="61" t="str">
        <x:v>https://www.linkedin.com/posts/woutervanheddeghem_check-out-this-post-by-dinesh-r-%F0%9D%99%88%F0%9D%99%8F%F0%9D%99%8A-activity-7440469486719266817-Qjqh</x:v>
      </x:c>
      <x:c r="O84" s="62"/>
      <x:c r="P84" s="61" t="str">
        <x:v>Dinesh R</x:v>
      </x:c>
      <x:c r="Q84" s="61" t="str">
        <x:v>https://www.linkedin.com/in/dinesh1022</x:v>
      </x:c>
      <x:c r="R84" s="61" t="str">
        <x:v>Dinesh R</x:v>
      </x:c>
      <x:c r="S84" s="61" t="str">
        <x:v>direct_scm</x:v>
      </x:c>
      <x:c r="T84" s="61" t="str">
        <x:v>no</x:v>
      </x:c>
      <x:c r="U84" s="61" t="str">
        <x:v>https://www.linkedin.com/posts/dinesh1022_%F0%9D%99%88%F0%9D%99%8F%F0%9D%99%8A-%F0%9D%99%81%F0%9D%99%AA%F0%9D%99%A1%F0%9D%99%A1-%F0%9D%98%BE%F0%9D%99%AE%F0%9D%99%98%F0%9D%99%A1%F0%9D%99%9A-%F0%9D%99%84%F0%9D%99%A3%F0%9D%99%A9%F0%9D%99%9A%F0%9D%99%9C%F0%9D%99%A7-activity-7402157197742444544-MekQ</x:v>
      </x:c>
      <x:c r="V84" s="22" t="str">
        <x:v>Posting author amplified Dinesh's original; both identities and URLs retained.</x:v>
      </x:c>
      <x:c r="W84" s="61" t="str">
        <x:v>no</x:v>
      </x:c>
      <x:c r="X84" s="61" t="str">
        <x:v>curated_top100_workbook</x:v>
      </x:c>
      <x:c r="Y84" s="22" t="str"/>
    </x:row>
    <x:row r="85" ht="24" customHeight="1">
      <x:c r="A85" s="69" t="n">
        <x:v>84</x:v>
      </x:c>
      <x:c r="B85" s="69" t="n">
        <x:v>86</x:v>
      </x:c>
      <x:c r="C85" s="70" t="str">
        <x:v>Like many people, I’ve been trying to get my head around AI in procurement. A post by Asmaa Gad this week really helped. Her Agentic AI Platforms Map (65 platforms, 10 categories, 2026 edition) brilliantly illustrates how crowded this space has become.
Given the number of platforms and categories, I wanted to step back and understand what they actually do. The discussion that followed provided the answer. AI platforms can broadly be viewed as operating across three layers:
- Orchestration: automating end-to-end procurement workflows (e.g. major Source-to-Pay suites such as Coupa, SAP Ariba, GEP)
- Domain Intelligence: generating insight within specific areas—spend analytics (Sievo, Rosslyn), contract intelligence (Icertis, Ironclad), supplier risk (Resilinc, Prewave)
- Data Access: the foundational layer—connectivity, supplier data, and infrastructure that everything else depends on (Palantir, E2open, One Network)
It’s worth noting that the major S2P platforms are increasingly bundling spend analytics and risk monitoring into their core offerings. So are these truly three distinct categories, or three overlapping capabilities? Perhaps the more useful question isn’t “which platform category do I need?” but “which capability will deliver the greatest improvement in performance?” For most teams, it’s the intelligence layer. The workflows already exist—genuinely understanding what you’re spending, with whom, and at what risk is where AI could close the gap first.</x:v>
      </x:c>
      <x:c r="D85" s="61" t="str">
        <x:v>0ec7f7e82591175a082f9501ac24b0fe066578546483930760550d3e7ab861b9</x:v>
      </x:c>
      <x:c r="E85" s="61" t="str">
        <x:v>84.jpeg</x:v>
      </x:c>
      <x:c r="F85" s="61" t="str">
        <x:v>/Users/tigershetty/Documents/Codex/2026-06-30/ho/Codex-Linkedin-V3/infographic-setup/references/top 100/84.jpeg</x:v>
      </x:c>
      <x:c r="G85" s="61" t="str">
        <x:v>665c8519ab329d59ede309e44fd60f873216888f84f907fd6411928941d04b6f</x:v>
      </x:c>
      <x:c r="H85" s="64" t="b">
        <x:v>1</x:v>
      </x:c>
      <x:c r="I85" s="61"/>
      <x:c r="J85" s="61" t="str">
        <x:v>resolved</x:v>
      </x:c>
      <x:c r="K85" s="61" t="str">
        <x:v>high</x:v>
      </x:c>
      <x:c r="L85" s="61" t="str">
        <x:v>Angus Craig FCIPS</x:v>
      </x:c>
      <x:c r="M85" s="61" t="str">
        <x:v>https://www.linkedin.com/in/anguscraigfcips</x:v>
      </x:c>
      <x:c r="N85" s="61" t="str">
        <x:v>https://www.linkedin.com/posts/anguscraigfcips_like-many-people-ive-been-trying-to-get-activity-7450877132563558400-2vPe</x:v>
      </x:c>
      <x:c r="O85" s="62"/>
      <x:c r="P85" s="61" t="str">
        <x:v>Asmaa Gad</x:v>
      </x:c>
      <x:c r="Q85" s="61" t="str">
        <x:v>https://www.linkedin.com/in/supplychainaipro</x:v>
      </x:c>
      <x:c r="R85" s="61" t="str">
        <x:v>Supply Chain AI Pro / Asmaa Gad</x:v>
      </x:c>
      <x:c r="S85" s="61" t="str">
        <x:v>direct_scm</x:v>
      </x:c>
      <x:c r="T85" s="61" t="str">
        <x:v>no</x:v>
      </x:c>
      <x:c r="U85" s="61" t="str">
        <x:v>https://www.linkedin.com/posts/anguscraigfcips_like-many-people-ive-been-trying-to-get-activity-7450877132563558400-2vPe</x:v>
      </x:c>
      <x:c r="V85" s="22" t="str">
        <x:v>Posting author and credited source creator are intentionally separate.</x:v>
      </x:c>
      <x:c r="W85" s="61" t="str">
        <x:v>no</x:v>
      </x:c>
      <x:c r="X85" s="61" t="str">
        <x:v>curated_top100_workbook</x:v>
      </x:c>
      <x:c r="Y85" s="22" t="str"/>
    </x:row>
    <x:row r="86" ht="24" customHeight="1">
      <x:c r="A86" s="69" t="n">
        <x:v>85</x:v>
      </x:c>
      <x:c r="B86" s="69" t="n">
        <x:v>87</x:v>
      </x:c>
      <x:c r="C86" s="70" t="str">
        <x:v>This is what your supply chain org chart looks like today.
And this is what it will look like tomorrow.
AI is not just changing tools. It’s redesigning roles.
Three big changes I see across companies:
The rise of the Supply Chain Orchestrator
Someone who manages by exception, not by task
Focusing on decisions, not data crunching
The emergence of App Makers / Super Analysts
People from the business building their own tools
Replacing hundreds of Excels with simple, scalable apps
The creation of AI Product roles
To structure, prioritize, and govern all these initiatives
Avoiding chaos at scale
The biggest shift is this:
From execution To orchestration
From manual work To decision-making
If you want to see how leading companies are actually using AI in supply chain:
👉Comment “AI” and I’ll send it to you.
With ❤️ &amp; 🥐</x:v>
      </x:c>
      <x:c r="D86" s="61" t="str">
        <x:v>cf94b506c1c97e029bf98879de11f4ec9382c3c9210c86ebfd6e1e1b0e963eba</x:v>
      </x:c>
      <x:c r="E86" s="61" t="str">
        <x:v>85.jpeg</x:v>
      </x:c>
      <x:c r="F86" s="61" t="str">
        <x:v>/Users/tigershetty/Documents/Codex/2026-06-30/ho/Codex-Linkedin-V3/infographic-setup/references/top 100/85.jpeg</x:v>
      </x:c>
      <x:c r="G86" s="61" t="str">
        <x:v>557c72b086a65ac446ee59292c69239b646ee03a9a60bbe59123860477846b13</x:v>
      </x:c>
      <x:c r="H86" s="64" t="b">
        <x:v>1</x:v>
      </x:c>
      <x:c r="I86" s="61"/>
      <x:c r="J86" s="61" t="str">
        <x:v>resolved</x:v>
      </x:c>
      <x:c r="K86" s="61" t="str">
        <x:v>high</x:v>
      </x:c>
      <x:c r="L86" s="61" t="str">
        <x:v>Edouard Thieuleux</x:v>
      </x:c>
      <x:c r="M86" s="61" t="str">
        <x:v>https://www.linkedin.com/in/edouardthieuleux</x:v>
      </x:c>
      <x:c r="N86" s="61" t="str">
        <x:v>https://www.linkedin.com/posts/edouardthieuleux_this-is-what-your-supply-chain-org-chart-activity-7450452978395840512-XsFD</x:v>
      </x:c>
      <x:c r="O86" s="62"/>
      <x:c r="P86" s="61" t="str">
        <x:v>Edouard Thieuleux</x:v>
      </x:c>
      <x:c r="Q86" s="61" t="str"/>
      <x:c r="R86" s="61" t="str">
        <x:v>Edouard Thieuleux</x:v>
      </x:c>
      <x:c r="S86" s="61" t="str">
        <x:v>direct_scm</x:v>
      </x:c>
      <x:c r="T86" s="61" t="str">
        <x:v>no</x:v>
      </x:c>
      <x:c r="U86" s="61" t="str">
        <x:v>https://www.linkedin.com/posts/edouardthieuleux_this-is-what-your-supply-chain-org-chart-activity-7450452978395840512-XsFD</x:v>
      </x:c>
      <x:c r="V86" s="22" t="str">
        <x:v>Exact caption match.</x:v>
      </x:c>
      <x:c r="W86" s="61" t="str">
        <x:v>no</x:v>
      </x:c>
      <x:c r="X86" s="61" t="str">
        <x:v>curated_top100_workbook</x:v>
      </x:c>
      <x:c r="Y86" s="22" t="str"/>
    </x:row>
    <x:row r="87" ht="24" customHeight="1">
      <x:c r="A87" s="69" t="n">
        <x:v>86</x:v>
      </x:c>
      <x:c r="B87" s="69" t="n">
        <x:v>88</x:v>
      </x:c>
      <x:c r="C87" s="70" t="str">
        <x:v>Most procurement teams want to innovate.
But they're trying to build the roof before the walls are up.
Procurement excellence isn't one big transformation. It's 5 layers, built in a specific order.
Here's what each one looks like based on my experience: 
Layer 1: Standardisation 
↳ Write clear processes - one way to do the work, consistently 
↳ Create supplier templates 
↳ Document your category strategies 
↳ Define approval thresholds 
↳ Train every stakeholder who touches procurement
This is your foundation. Without it, nothing else sticks.
Layer 2: Automation 
↳ Implement e-procurement 
↳ Connect your systems 
↳ Automate PO generation 
↳ Minimise manual approvals 
↳ Set up spend alerts and approval triggers
Automation without standardisation is just chaos at speed. Do Layer 1 first.
Layer 3: Measurement 
↳ Define your category KPIs 
↳ Track supplier performance 
↳ Build spend dashboards 
↳ Run regular reviews 
↳ Tie data to decisions - not just reports
If you're not measuring it, you can't improve it.
Layer 4: Continuous Improvement 
↳ Gather stakeholder feedback 
↳ Spot the process bottlenecks before they become problems 
↳ Run small sourcing pilots 
↳ Learn from failed tenders 
↳ Document what works. Improve every quarter.
The teams that get better aren't more talented. They're more deliberate.
Layer 5: Innovation 
↳ Host supplier summits 
↳ Encourage bold sourcing approaches 
↳ Pilot new supply models 
↳ Protect time to explore new ideas 
↳ Challenge the status quo - consistently
Innovation without the first 4 layers can be wholly ineffective. With them? It becomes a real competitive advantage.
It's tempting to jump straight to Layer 5.
Then wonder why nothing changes.
Build the layers. In order.
Which layer is the most difficult to land in your view, 1, 2, 3, 4 or 5? LMK in the comments. 
♻️ Repost to help a procurement pro in your network.
Follow me Tom Mills for weekly procurement insights and grab all my free resources here 👉 https://procurebites.com/</x:v>
      </x:c>
      <x:c r="D87" s="61" t="str">
        <x:v>0bf404a94a064f891206de0090ac89b0f2bee394b3355ce70e79a8f3bc50e2df</x:v>
      </x:c>
      <x:c r="E87" s="61" t="str">
        <x:v>86.jpeg</x:v>
      </x:c>
      <x:c r="F87" s="61" t="str">
        <x:v>/Users/tigershetty/Documents/Codex/2026-06-30/ho/Codex-Linkedin-V3/infographic-setup/references/top 100/86.jpeg</x:v>
      </x:c>
      <x:c r="G87" s="61" t="str">
        <x:v>32f36ac7e84bb02bbaa64aeccf301ee6225540c6b747a6a4cba144c8f29e3777</x:v>
      </x:c>
      <x:c r="H87" s="64" t="b">
        <x:v>1</x:v>
      </x:c>
      <x:c r="I87" s="61"/>
      <x:c r="J87" s="61" t="str">
        <x:v>resolved</x:v>
      </x:c>
      <x:c r="K87" s="61" t="str">
        <x:v>high</x:v>
      </x:c>
      <x:c r="L87" s="61" t="str">
        <x:v>Tom Mills</x:v>
      </x:c>
      <x:c r="M87" s="61" t="str">
        <x:v>https://www.linkedin.com/in/tom-mills-procurement</x:v>
      </x:c>
      <x:c r="N87" s="61" t="str">
        <x:v>https://www.linkedin.com/posts/tom-mills-procurement_most-procurement-teams-want-to-innovate-activity-7458802962056937474-aJP6</x:v>
      </x:c>
      <x:c r="O87" s="62"/>
      <x:c r="P87" s="61" t="str">
        <x:v>Tom Mills</x:v>
      </x:c>
      <x:c r="Q87" s="61" t="str"/>
      <x:c r="R87" s="61" t="str">
        <x:v>Procure Bites / Tom Mills</x:v>
      </x:c>
      <x:c r="S87" s="61" t="str">
        <x:v>direct_scm</x:v>
      </x:c>
      <x:c r="T87" s="61" t="str">
        <x:v>yes</x:v>
      </x:c>
      <x:c r="U87" s="61" t="str">
        <x:v>https://www.linkedin.com/posts/tom-mills-procurement_most-procurement-teams-want-to-innovate-activity-7458802962056937474-aJP6</x:v>
      </x:c>
      <x:c r="V87" s="22" t="str">
        <x:v>Workbook-era post selected over a newer repost.</x:v>
      </x:c>
      <x:c r="W87" s="61" t="str">
        <x:v>no</x:v>
      </x:c>
      <x:c r="X87" s="61" t="str">
        <x:v>curated_top100_workbook</x:v>
      </x:c>
      <x:c r="Y87" s="22" t="str"/>
    </x:row>
    <x:row r="88" ht="24" customHeight="1">
      <x:c r="A88" s="69" t="n">
        <x:v>87</x:v>
      </x:c>
      <x:c r="B88" s="69" t="n">
        <x:v>89</x:v>
      </x:c>
      <x:c r="C88" s="70" t="str">
        <x:v>𝗜 𝗿𝗮𝗻𝗸𝗲𝗱 𝟲 𝘀𝘂𝗽𝗽𝗹𝘆 𝗰𝗵𝗮𝗶𝗻 𝗷𝗼𝗯𝘀 𝗯𝘆 𝗔𝗜 𝗲𝘅𝗽𝗼𝘀𝘂𝗿𝗲.
𝗢𝗻𝗲 𝗿𝗼𝗹𝗲 𝗵𝗶𝘁 𝟵𝟮%.
Here's the full breakdown:
→ Demand Planner / Forecast Analyst: 92% exposed 
→ Procurement Analyst / Spend Analyst: 85% 
→ Customer Service / Order Management: 78% 
→ Logistics Coordinator / Transport Planner: 65% 
→ Category Manager / Strategic Sourcing: 45% 
→ Warehouse Ops Manager: 30%
The pattern is clear.
The more your job depends on data crunching, pattern matching, and reporting the faster AI replaces the task.
The more it depends on relationships, negotiation, and cross-functional influence the safer you are.
But "safer" doesn't mean "unchanged."
Even Category Managers at 45% exposure will see their role completely reshaped by 2028.
The only role actually growing? (+5%) Strategic sourcing.
Because AI can pull the data. But it can't sit across the table and close a deal with a difficult supplier.
Save this index. 
Find your role. 
Then ask: am I building the skills that stay human?
Follow Asmaa Gad + Supply Chain AI Pro daily AI tips in supply chain
hashtag#SupplyChain hashtag#AI hashtag#Procurement hashtag#CareerDevelopme</x:v>
      </x:c>
      <x:c r="D88" s="61" t="str">
        <x:v>956e19a8f2b7e677e91220583be9e460abe865e5a9c097f70903cae27647af6b</x:v>
      </x:c>
      <x:c r="E88" s="61" t="str">
        <x:v>87.jpeg</x:v>
      </x:c>
      <x:c r="F88" s="61" t="str">
        <x:v>/Users/tigershetty/Documents/Codex/2026-06-30/ho/Codex-Linkedin-V3/infographic-setup/references/top 100/87.jpeg</x:v>
      </x:c>
      <x:c r="G88" s="61" t="str">
        <x:v>f941aaf7bd95c50fbb4b573954f79e1afee91fdcdcb371c2a7e692af84e10f88</x:v>
      </x:c>
      <x:c r="H88" s="64" t="b">
        <x:v>1</x:v>
      </x:c>
      <x:c r="I88" s="61"/>
      <x:c r="J88" s="61" t="str">
        <x:v>resolved</x:v>
      </x:c>
      <x:c r="K88" s="61" t="str">
        <x:v>high</x:v>
      </x:c>
      <x:c r="L88" s="61" t="str">
        <x:v>Asmaa Gad</x:v>
      </x:c>
      <x:c r="M88" s="61" t="str">
        <x:v>https://www.linkedin.com/in/supplychainaipro</x:v>
      </x:c>
      <x:c r="N88" s="61" t="str"/>
      <x:c r="O88" s="62"/>
      <x:c r="P88" s="61" t="str">
        <x:v>Asmaa Gad</x:v>
      </x:c>
      <x:c r="Q88" s="61" t="str"/>
      <x:c r="R88" s="61" t="str">
        <x:v>Supply Chain AI Pro</x:v>
      </x:c>
      <x:c r="S88" s="61" t="str">
        <x:v>direct_scm</x:v>
      </x:c>
      <x:c r="T88" s="61" t="str">
        <x:v>yes</x:v>
      </x:c>
      <x:c r="U88" s="61" t="str"/>
      <x:c r="V88" s="22" t="str">
        <x:v>Author explicit on local visual; permalink unresolved.</x:v>
      </x:c>
      <x:c r="W88" s="61" t="str">
        <x:v>yes</x:v>
      </x:c>
      <x:c r="X88" s="61" t="str">
        <x:v>curated_top100_workbook</x:v>
      </x:c>
      <x:c r="Y88" s="22" t="str"/>
    </x:row>
    <x:row r="89" ht="24" customHeight="1">
      <x:c r="A89" s="69" t="n">
        <x:v>88</x:v>
      </x:c>
      <x:c r="B89" s="69" t="n">
        <x:v>90</x:v>
      </x:c>
      <x:c r="C89" s="70" t="str">
        <x:v>You don't need algorithm hacks to grow on LinkedIn.
I spent the last 90 days testing every growth hack I could find. Here's what actually works:
(Based on analyzing content in different niches)
1. Hyper-specific content (3x a week)
• Solve one exact problem per post
• Use industry language your clients use
• Speak directly to one person
Jake Ward has mastered this for B2B. 
Address their problems directly. 
i.e "Stop losing credibility with your body language."
2. Proof-First Content
80% tactical step-by-step frameworks and screenshots.
20% stories on how you're doing it (use stories)
The 80% builds trust, the 20% engages them more. 
Educate and storytell. Always both. 
3. LinkedIn Video (let me explain...)
Video reach might be down right now.
But it's the fastest way to prove authority. 
LinkedIn video is ok.
Linkedin Lives? They're a goldmine.
We had a LinkedIn live with 200 people.
Made $10,000 from it. 
People buy from people they trust. Video accelerates this! 
I'd limit these to 2 a month, though, no pressure. 
I left a checklist for you in the image below for you to script your first Linkedin video too btw.
This is the no-bs blueprint for entrepreneurs. 
It's not about more volume, it's about more insights.
Dominating LinkedIn isn't just about virality right now.
It's about building a brand that earns trust.
Keep your focus on your 1 thing. 
The rest will follow.
I've just recorded a private video on how to dominate "storytelling" on LinkedIn like an expert. 
If you want it ♻️ repost this post and I'll send it to you (20 people max). 
PS: Which step do you struggle with the most? 
--
Join my FREE 2-Day masterclass tomorrow showing you how you how to build a 1-person business on LinkedIn → https://lnkd.in/e9YQfHP9</x:v>
      </x:c>
      <x:c r="D89" s="61" t="str">
        <x:v>390eebcbe62cc301747d31309b8bb8c322ff712c5435b8939def8567c00c3571</x:v>
      </x:c>
      <x:c r="E89" s="61" t="str">
        <x:v>88.jpeg</x:v>
      </x:c>
      <x:c r="F89" s="61" t="str">
        <x:v>/Users/tigershetty/Documents/Codex/2026-06-30/ho/Codex-Linkedin-V3/infographic-setup/references/top 100/88.jpeg</x:v>
      </x:c>
      <x:c r="G89" s="61" t="str">
        <x:v>55c127054ab153f2f12df4006912365e38196b7a666cc015cd82b4176dadba2e</x:v>
      </x:c>
      <x:c r="H89" s="64" t="b">
        <x:v>1</x:v>
      </x:c>
      <x:c r="I89" s="61"/>
      <x:c r="J89" s="61" t="str">
        <x:v>resolved</x:v>
      </x:c>
      <x:c r="K89" s="61" t="str">
        <x:v>high</x:v>
      </x:c>
      <x:c r="L89" s="61" t="str">
        <x:v>Lara Acosta</x:v>
      </x:c>
      <x:c r="M89" s="61" t="str">
        <x:v>https://www.linkedin.com/in/laraacostar</x:v>
      </x:c>
      <x:c r="N89" s="61" t="str">
        <x:v>https://www.linkedin.com/posts/laraacostar_you-dont-need-algorithm-hacks-to-grow-on-activity-7449418737713238016-8dep</x:v>
      </x:c>
      <x:c r="O89" s="62"/>
      <x:c r="P89" s="61" t="str">
        <x:v>Lara Acosta</x:v>
      </x:c>
      <x:c r="Q89" s="61" t="str"/>
      <x:c r="R89" s="61" t="str">
        <x:v>Lara Acosta</x:v>
      </x:c>
      <x:c r="S89" s="61" t="str">
        <x:v>external_transferable</x:v>
      </x:c>
      <x:c r="T89" s="61" t="str">
        <x:v>no</x:v>
      </x:c>
      <x:c r="U89" s="61" t="str">
        <x:v>https://www.linkedin.com/posts/laraacostar_you-dont-need-algorithm-hacks-to-grow-on-activity-7449418737713238016-8dep</x:v>
      </x:c>
      <x:c r="V89" s="22" t="str">
        <x:v>Exact caption match.</x:v>
      </x:c>
      <x:c r="W89" s="61" t="str">
        <x:v>no</x:v>
      </x:c>
      <x:c r="X89" s="61" t="str">
        <x:v>curated_top100_workbook</x:v>
      </x:c>
      <x:c r="Y89" s="22" t="str"/>
    </x:row>
    <x:row r="90" ht="24" customHeight="1">
      <x:c r="A90" s="69" t="n">
        <x:v>89</x:v>
      </x:c>
      <x:c r="B90" s="69" t="n">
        <x:v>91</x:v>
      </x:c>
      <x:c r="C90" s="70" t="str">
        <x:v>DEMAND PLANNING (NEXT LEVEL)
Most people forecast. Few actually plan.
Everyone knows the basics: What • When • How Much
But real demand planning starts when you ask:
Why is demand changing—and what will it cost if I’m wrong?
1. Not all demand behaves the same 
Stable → optimize cost
Seasonal → manage timing
Trend → control scaling risk
Irregular → protect with buffers
Misclassification = wrong inventory, wrong decisions.
2. There is no universal forecasting model
Stop applying one method to all SKUs. Match model to behavior. Segment demand properly. Accept trade-offs (accuracy vs responsiveness)
3. Accuracy is incomplete without direction
MAPE tells you how wrong, Bias tells you where you’re leaning
High bias = overstock or stockouts
Low visibility = unstable decision
4. Forecast = business impact
Every number affects: Inventory investment, Service level, Lost sales or excess stock, this is not reporting, this is financial decision-making.
5. Discipline is what creates results
Before ordering: Validate trend vs noise. Check real demand drivers.
When issues happen:
Overstock → check bias
Stockout → check missed signals
And always: No adjustment without a reason. No decision without impact.
Bottom line, High accuracy alone is not success.
The real goal is balance: Service level • Inventory • Cost
That’s what separates a planner from a decision-maker.</x:v>
      </x:c>
      <x:c r="D90" s="61" t="str">
        <x:v>8c8a10e58c49cf696db044c319b36c549204d61d771e0b4a833b139f7c7760cc</x:v>
      </x:c>
      <x:c r="E90" s="61" t="str">
        <x:v>89.jpeg</x:v>
      </x:c>
      <x:c r="F90" s="61" t="str">
        <x:v>/Users/tigershetty/Documents/Codex/2026-06-30/ho/Codex-Linkedin-V3/infographic-setup/references/top 100/89.jpeg</x:v>
      </x:c>
      <x:c r="G90" s="61" t="str">
        <x:v>848d8ba3e129f820410a667e1693d93d8d3427b9c6ffea3a1368bffc6f9fb047</x:v>
      </x:c>
      <x:c r="H90" s="64" t="b">
        <x:v>1</x:v>
      </x:c>
      <x:c r="I90" s="61"/>
      <x:c r="J90" s="61" t="str">
        <x:v>resolved</x:v>
      </x:c>
      <x:c r="K90" s="61" t="str">
        <x:v>high</x:v>
      </x:c>
      <x:c r="L90" s="61" t="str">
        <x:v>Ronalin L</x:v>
      </x:c>
      <x:c r="M90" s="61" t="str">
        <x:v>https://www.linkedin.com/in/ronalinlagsa</x:v>
      </x:c>
      <x:c r="N90" s="61" t="str">
        <x:v>https://www.linkedin.com/posts/ronalinlagsa_demand-planning-next-level-most-people-activity-7449046219600982016-I3fm</x:v>
      </x:c>
      <x:c r="O90" s="62"/>
      <x:c r="P90" s="61" t="str">
        <x:v>Ronalin L</x:v>
      </x:c>
      <x:c r="Q90" s="61" t="str"/>
      <x:c r="R90" s="61" t="str">
        <x:v>Ronalin L</x:v>
      </x:c>
      <x:c r="S90" s="61" t="str">
        <x:v>direct_scm</x:v>
      </x:c>
      <x:c r="T90" s="61" t="str">
        <x:v>no</x:v>
      </x:c>
      <x:c r="U90" s="61" t="str">
        <x:v>https://www.linkedin.com/posts/ronalinlagsa_demand-planning-next-level-most-people-activity-7449046219600982016-I3fm</x:v>
      </x:c>
      <x:c r="V90" s="22" t="str">
        <x:v>Exact caption match.</x:v>
      </x:c>
      <x:c r="W90" s="61" t="str">
        <x:v>no</x:v>
      </x:c>
      <x:c r="X90" s="61" t="str">
        <x:v>curated_top100_workbook</x:v>
      </x:c>
      <x:c r="Y90" s="22" t="str"/>
    </x:row>
    <x:row r="91" ht="24" customHeight="1">
      <x:c r="A91" s="69" t="n">
        <x:v>90</x:v>
      </x:c>
      <x:c r="B91" s="69" t="n">
        <x:v>92</x:v>
      </x:c>
      <x:c r="C91" s="70" t="str">
        <x:v>Most procurement teams waste 30% of their time fighting their own systems.
The culprit? Using the wrong purchasing channel.
I see it constantly...
Teams forcing services through goods POs.
Or worse, trying to squeeze one-off purchases into heavy item masters...
Your category strategy and operational requirements should dictate your downstream channel.
Not the other way around...
𝗬𝗼𝘂 𝘄𝗮𝗻𝘁/𝗻𝗲𝗲𝗱 𝘁𝗼 𝗽𝘂𝗿𝗰𝗵𝗮𝘀𝗲 𝘁𝗵𝗲 𝗲𝘅𝗮𝗰𝘁 𝘀𝗮𝗺𝗲 𝗰𝗼𝗺𝗽𝗹𝗲𝘅 𝗶𝘁𝗲𝗺 𝗿𝗲𝗽𝗲𝗮𝘁𝗲𝗱𝗹𝘆?
↳ You're going to need an item master with manufacturer information
𝗬𝗼𝘂 𝘄𝗮𝗻𝘁/𝗻𝗲𝗲𝗱 𝘁𝗼 𝗺𝗮𝗻𝗮𝗴𝗲 𝗶𝗻𝘃𝗲𝗻𝘁𝗼𝗿𝘆?
↳ You're going to need to do goods receipts in your system at physical receipt
𝗬𝗼𝘂 𝘄𝗮𝗻𝘁/𝗻𝗲𝗲𝗱 𝘁𝗼 𝗮𝘂𝘁𝗼𝗺𝗮𝘁𝗶𝗰𝗮𝗹𝗹𝘆 𝗿𝗲𝗽𝗹𝗲𝗻𝗶𝘀𝗵 𝘀𝘁𝗼𝗰𝗸 𝘃𝗶𝗮 𝗠𝗥𝗣?
↳ You're going to need an item master, to maintain pricing and MRP parameters (like min/max)
𝗬𝗼𝘂 𝗼𝗻𝗹𝘆 𝗯𝘂𝘆 𝘀𝗽𝗼𝗿𝗮𝗱𝗶𝗰𝗮𝗹𝗹𝘆 𝗮𝗻𝗱 𝗶𝘁 𝗱𝗼𝗲𝘀𝗻'𝘁 𝗻𝗲𝗲𝗱 𝘁𝗼 𝗯𝗲 𝘁𝗵𝗲 𝘀𝗮𝗺𝗲 𝗶𝘁𝗲𝗺 𝗲𝘃𝗲𝗿𝘆 𝘁𝗶𝗺𝗲?
↳ Setup a vendor catalog so you don't need to do any of the above
Decide HOW you want to optimally manage a category/commodity in operations.
Then, create/use the right purchasing channel for it based on what your systems can do...
And get additional systems/capabilities where needed to reach your objectives.
Otherwise, you'll be squaring circles all day long...
You'll waste time, effort and resources maintaining:
↳ Item masters
↳ MRP parameters
↳ Pricing
↳ Inventory
...for parts that potentially don't need them to be optimally managed.
𝗜 𝗸𝗶𝗱 𝘆𝗼𝘂 𝗻𝗼𝘁, 𝗜 𝘀𝗮𝘄 𝗮𝗻 𝗠𝗥𝗣 𝗺𝗮𝗻𝗮𝗴𝗲𝗱 𝗽𝗲𝗻𝗰𝗶𝗹 𝗼𝗻𝗰𝗲!
Purchasing is more complex (and fun!) than you think.
BUT, when you take the time to get it right, boy is it satisfying.
What's the most ridiculous thing you've seen MRP managed? Let me know in the comments 👇
_________________________
𝗣.𝗦. I wrote a full guide on Purchasing Channels (FREE) that goes much deeper than this poster.
With your email, you can get access here: https://lnkd.in/eV3CjMd4
You'll also start getting my weekly missive about how to be successful with different types of procurement technology projects.</x:v>
      </x:c>
      <x:c r="D91" s="61" t="str">
        <x:v>b5fd86b3928f2681edcc4155146daef4c8e20008b32056ae23d0f671bdaa2b14</x:v>
      </x:c>
      <x:c r="E91" s="61" t="str">
        <x:v>90.jpeg</x:v>
      </x:c>
      <x:c r="F91" s="61" t="str">
        <x:v>/Users/tigershetty/Documents/Codex/2026-06-30/ho/Codex-Linkedin-V3/infographic-setup/references/top 100/90.jpeg</x:v>
      </x:c>
      <x:c r="G91" s="61" t="str">
        <x:v>8d486050a9c45a921bc72195d2f5f4e49ac94b9c7f82ffc3bc9891ebec5b6e97</x:v>
      </x:c>
      <x:c r="H91" s="64" t="b">
        <x:v>1</x:v>
      </x:c>
      <x:c r="I91" s="61"/>
      <x:c r="J91" s="61" t="str">
        <x:v>resolved</x:v>
      </x:c>
      <x:c r="K91" s="61" t="str">
        <x:v>high</x:v>
      </x:c>
      <x:c r="L91" s="61" t="str">
        <x:v>Joel Collin-Demers</x:v>
      </x:c>
      <x:c r="M91" s="61" t="str">
        <x:v>https://www.linkedin.com/in/joelcollindemers</x:v>
      </x:c>
      <x:c r="N91" s="61" t="str">
        <x:v>https://www.linkedin.com/posts/joelcollindemers_most-procurement-teams-waste-30-of-their-activity-7381679058448990208-umN2</x:v>
      </x:c>
      <x:c r="O91" s="62"/>
      <x:c r="P91" s="61" t="str">
        <x:v>Joel Collin-Demers</x:v>
      </x:c>
      <x:c r="Q91" s="61" t="str"/>
      <x:c r="R91" s="61" t="str">
        <x:v>Joel Collin-Demers</x:v>
      </x:c>
      <x:c r="S91" s="61" t="str">
        <x:v>direct_scm</x:v>
      </x:c>
      <x:c r="T91" s="61" t="str">
        <x:v>no</x:v>
      </x:c>
      <x:c r="U91" s="61" t="str">
        <x:v>https://www.linkedin.com/posts/joelcollindemers_most-procurement-teams-waste-30-of-their-activity-7381679058448990208-umN2</x:v>
      </x:c>
      <x:c r="V91" s="22" t="str">
        <x:v>Exact caption match.</x:v>
      </x:c>
      <x:c r="W91" s="61" t="str">
        <x:v>no</x:v>
      </x:c>
      <x:c r="X91" s="61" t="str">
        <x:v>curated_top100_workbook</x:v>
      </x:c>
      <x:c r="Y91" s="22" t="str"/>
    </x:row>
    <x:row r="92" ht="24" customHeight="1">
      <x:c r="A92" s="69" t="n">
        <x:v>91</x:v>
      </x:c>
      <x:c r="B92" s="69" t="n">
        <x:v>93</x:v>
      </x:c>
      <x:c r="C92" s="70" t="str">
        <x:v>How to climb all 4 layers of Claude in one weekend:
(even if you just signed up yesterday)
✦ Level 1: Claude Chat (Saturday morning)
Go to claude .com/download. Install the app.
Pay the $20. Select Opus 4.6 + Extended Thinking. 
Connect Slack, Drive, Notion through Connectors.
Stop writing long prompts. Prompt this instead:
"I want to [TASK] for [SUCCESS CRITERIA]. Use AskUserQuestion before you start."
Most people stay here forever.
You're leaving 90% of Claude untouched.
Claude Basics: how-to-claude.ai.
——
✦ Level 2: Claude Cowork (Saturday afternoon)
Go to 'Cowork'. Create a folder "Claude-Cowork."
4 subfolders. About me, template, project &amp; outputs
Create about-me .md: what you do, how you do.
Create anti-ai-style .md: words you'd never say. 
Set Global Instructions (Settings → Cowork → Edit): 
"Always read my files first, never edit my originals, deliver everything to CLAUDE OUTPUTS."
You just killed prompting.
From now on, your prompt is 2 lines + your folder.
Move on to Cowork: claude-co.work
——
✦ Level 3: Skills + Plugins (Sunday morning)
Open Cowork. Type: "Use the skill-creator to help me build a skill for [your most repeated task]."
Claude interviews you. Answer and be specific.
It generates a SKILL .md. Test it: "When would you use this skill?" If the description is vague, fix it.
Upload: Settings → Capabilities → Skills → Upload. 
Now it fires automatically. No slash command.
Install Plugins: Cowork &gt; Customize &gt; Browse plugin
Skills with about-me .md. Skill handles the process. 
Voice file handles tone. Two layers simultaneously.
Set up Claude Skills: https://lnkd.in/g9MQUC-Z
——
✦ Level 4: Code + Computer (Sunday afternoon)
Click the Code tab. Create a folder. Connect GitHub 
(free account → Settings → Connectors).
Prompt: "Create a GitHub repo named [project]. Code everything. Don't ask for permissions."
Download VS Code. Install the Claude extension. 
Turn on "Skip Permissions" to go 100x faster.
After your session, paste this: "Create a CLAUDE .md file with everything you learned about this project." Now Claude remembers your fonts, colors, and structure forever.
Claude code guide: https://lnkd.in/gsRhsFxT
Claude Computer: Settings → Desktop app → turn on Browser use + Computer use. 
Connect your phone with Dispatch. Text a task. 
Schedule a recurring task: left sidebar → Scheduled → write the prompt → pick the frequency.
Claude Computer: https://lnkd.in/dSaSqRxw
This is where you stop working inside Claude.
Claude starts working on your computer.
——
Saturday, you were prompting like it's ChatGPT.
Sunday, Claude is running your screen, building your website, &amp; sending you text updates.
That's all 4 layers. In one weekend.</x:v>
      </x:c>
      <x:c r="D92" s="61" t="str">
        <x:v>a1132ccce0fb78cdd8e0187282d6d1f0ce9bd730dea30aefbff78a6290475378</x:v>
      </x:c>
      <x:c r="E92" s="61" t="str">
        <x:v>91.jpeg</x:v>
      </x:c>
      <x:c r="F92" s="61" t="str">
        <x:v>/Users/tigershetty/Documents/Codex/2026-06-30/ho/Codex-Linkedin-V3/infographic-setup/references/top 100/91.jpeg</x:v>
      </x:c>
      <x:c r="G92" s="61" t="str">
        <x:v>bf177ec3490e1bd2d458424608fb9d9a268eb0d184841123bb5418eb97461d4e</x:v>
      </x:c>
      <x:c r="H92" s="64" t="b">
        <x:v>1</x:v>
      </x:c>
      <x:c r="I92" s="61"/>
      <x:c r="J92" s="61" t="str">
        <x:v>resolved</x:v>
      </x:c>
      <x:c r="K92" s="61" t="str">
        <x:v>high</x:v>
      </x:c>
      <x:c r="L92" s="61" t="str">
        <x:v>Ruben Hassid</x:v>
      </x:c>
      <x:c r="M92" s="61" t="str">
        <x:v>https://www.linkedin.com/in/ruben-hassid</x:v>
      </x:c>
      <x:c r="N92" s="61" t="str">
        <x:v>https://www.linkedin.com/posts/ruben-hassid_how-to-climb-all-4-layers-of-claude-in-one-activity-7447961600159977472-2Qco</x:v>
      </x:c>
      <x:c r="O92" s="62"/>
      <x:c r="P92" s="61" t="str">
        <x:v>Ruben Hassid</x:v>
      </x:c>
      <x:c r="Q92" s="61" t="str"/>
      <x:c r="R92" s="61" t="str">
        <x:v>How to AI / Ruben Hassid</x:v>
      </x:c>
      <x:c r="S92" s="61" t="str">
        <x:v>implementation_adjacent</x:v>
      </x:c>
      <x:c r="T92" s="61" t="str">
        <x:v>no</x:v>
      </x:c>
      <x:c r="U92" s="61" t="str">
        <x:v>https://www.linkedin.com/posts/ruben-hassid_how-to-climb-all-4-layers-of-claude-in-one-activity-7447961600159977472-2Qco</x:v>
      </x:c>
      <x:c r="V92" s="22" t="str">
        <x:v>Exact caption match; a later reprise exists.</x:v>
      </x:c>
      <x:c r="W92" s="61" t="str">
        <x:v>no</x:v>
      </x:c>
      <x:c r="X92" s="61" t="str">
        <x:v>curated_top100_workbook</x:v>
      </x:c>
      <x:c r="Y92" s="22" t="str"/>
    </x:row>
    <x:row r="93" ht="24" customHeight="1">
      <x:c r="A93" s="69" t="n">
        <x:v>92</x:v>
      </x:c>
      <x:c r="B93" s="69" t="n">
        <x:v>94</x:v>
      </x:c>
      <x:c r="C93" s="70" t="str">
        <x:v>12 companies. 3,000+ brands. Over $250 billion in combined revenue.
That's the global alcohol industry.
Walk into any bar, restaurant, or liquor store in the world. The labels look different. The bottles look different. The stories on the back are all unique. But trace the ownership and the same 12 parent companies made most of what's on the shelf.
The beer:
AB InBev has 500+ brands and brews ~30% of all beer on Earth. Budweiser, Bud Light, Corona, Stella Artois, Michelob Ultra, Modelo, Beck's, Hoegaarden, Leffe, Brahma, Goose Island, Elysian — $59B in revenue.
The HEINEKEN Beverages Company owns 300+ brands across 190+ countries. Heineken, Dos Equis, Tecate, Sol, Tiger, Birra Moretti, Amstel, Lagunitas, Red Stripe. They paid $7.6B for FEMSA's Mexican beer portfolio alone.
Molson Coors Beverage Company Beverage Company controls ~24% of US beer by volume. Miller Lite, Coors Light, Blue Moon, Leinenkugel's — and they only gained full Miller ownership because the DOJ forced SABMiller to divest during the $107B AB InBev mega-merger.
Constellation Brands turned that same DOJ-mandated divestiture into one of the greatest deals in beverage history. They acquired US rights to Corona and Modelo in 2013. Modelo Especial became the #1 beer in America by 2023.
Carlsberg Group rounds out the top 5 brewers with 140+ brands — Carlsberg, Tuborg, Kronenbourg 1664, Brooklyn Brewery.
Now look at spirits:
Diageo owns 200+ brands and is the #1 spirits company on the planet. Johnnie Walker, Smirnoff, Captain Morgan, Don Julio, Tanqueray, Baileys, Casamigos, Crown Royal, Ketel One, Guinness, Buchanan's — $20B+ in revenue.
Pernod Ricard is #2 with 240+ brands. Absolut, Jameson, Chivas Regal, Martell, The Glenlivet, Beefeater, Malibu, Kahlúa, Havana Club — $12B in revenue. And may be merging with Brown-Forman 
Beam Suntory was created when Japan's Suntory Holdings paid $16B for Beam Inc. Jim Beam, Maker's Mark, Knob Creek, Yamazaki, Hibiki, Laphroaig
Bacardi Limited owns 200+ brands privately. Bacardi Rum, Grey Goose, Patrón ($5.1B — the largest tequila deal in history), Bombay Sapphire, Dewar's, D'Ussé, St-Germain.
LVMH (Moët Hennessy) dominates the luxury tier. Hennessy alone controls roughly half of the entire global cognac market. Add Moët &amp; Chandon, Veuve Clicquot, Dom Pérignon, Belvedere, Glenmorangie, Ardbeg.
Brown-Forman has been family-controlled since 1870 — one of the last standing. Jack Daniel's, Woodford Reserve, Old Forester, Herradura.
Campari Group completes the picture. Aperol (the world's #1 aperitif), Wild Turkey, Grand Marnier, Courvoisier, SKYY, Espolòn.
The tequila category alone has seen $10B+ in acquisitions since 2014. Casamigos, Patrón, Don Julio, 21Seeds — all absorbed by conglomerates.
Few independents remain — Sazerac Company (450+ brands, largest privately held US spirits company), William Grant &amp; Sons (Glenfiddich, Hendricks), GALLO (High Noon, New Amsterdam, Barefoot) and The Wine Group (Franzia, Cupcake)</x:v>
      </x:c>
      <x:c r="D93" s="61" t="str">
        <x:v>8284497b26e13fafb8a27ca2803e30cfe581f99c314202149fe2ad928923253e</x:v>
      </x:c>
      <x:c r="E93" s="61" t="str">
        <x:v>92.jpeg</x:v>
      </x:c>
      <x:c r="F93" s="61" t="str">
        <x:v>/Users/tigershetty/Documents/Codex/2026-06-30/ho/Codex-Linkedin-V3/infographic-setup/references/top 100/92.jpeg</x:v>
      </x:c>
      <x:c r="G93" s="61" t="str">
        <x:v>ba7c530c19d6951a572effec08541962e6410fda3baeb3be7bdcf814aef8a813</x:v>
      </x:c>
      <x:c r="H93" s="64" t="b">
        <x:v>1</x:v>
      </x:c>
      <x:c r="I93" s="61"/>
      <x:c r="J93" s="61" t="str">
        <x:v>resolved</x:v>
      </x:c>
      <x:c r="K93" s="61" t="str">
        <x:v>high</x:v>
      </x:c>
      <x:c r="L93" s="61" t="str">
        <x:v>Harry McKaig</x:v>
      </x:c>
      <x:c r="M93" s="61" t="str">
        <x:v>https://www.linkedin.com/in/harrymckaig</x:v>
      </x:c>
      <x:c r="N93" s="61" t="str">
        <x:v>https://www.linkedin.com/posts/harrymckaig_12-companies-3000-brands-over-250-billion-activity-7447282183183962113-gjfG</x:v>
      </x:c>
      <x:c r="O93" s="62" t="str">
        <x:v>2026-04-07</x:v>
      </x:c>
      <x:c r="P93" s="61" t="str">
        <x:v>Harry McKaig</x:v>
      </x:c>
      <x:c r="Q93" s="61" t="str"/>
      <x:c r="R93" s="61" t="str">
        <x:v>Harry McKaig</x:v>
      </x:c>
      <x:c r="S93" s="61" t="str">
        <x:v>external_transferable</x:v>
      </x:c>
      <x:c r="T93" s="61" t="str">
        <x:v>no</x:v>
      </x:c>
      <x:c r="U93" s="61" t="str">
        <x:v>https://www.linkedin.com/posts/justinmaestas_these-companies-are-extremely-impressive-activity-7447710408515325952-Y6My</x:v>
      </x:c>
      <x:c r="V93" s="22" t="str">
        <x:v>Direct indexed original matches the exact caption; Justin Maestas's link is a reshare wrapper, not the source. Canonical profile verified from the original page.</x:v>
      </x:c>
      <x:c r="W93" s="61" t="str">
        <x:v>no</x:v>
      </x:c>
      <x:c r="X93" s="61" t="str">
        <x:v>curated_top100_workbook</x:v>
      </x:c>
      <x:c r="Y93" s="22" t="str"/>
    </x:row>
    <x:row r="94" ht="24" customHeight="1">
      <x:c r="A94" s="69" t="n">
        <x:v>93</x:v>
      </x:c>
      <x:c r="B94" s="69" t="n">
        <x:v>95</x:v>
      </x:c>
      <x:c r="C94" s="70" t="str">
        <x:v>I just packaged 102 of my best content templates into 5 Claude Skills.
This is everything you need to:
• Write scroll-stopping hooks
• Create content for yourself
• Ghostwrite content for high-paying clients
Here's what's inside the Social Ghostwriting Claude Skills Pack:
• LinkedIn Hooks Generator (15 proven formats)
• X Hooks Generator (formats with 36M+ impressions)
• Short-Form Post Generator (50 templates for X, LinkedIn, and Substack)
• Long-Form Post Generator (22 templates, 150-400 words each)
• Ghostwriter Interview Questions (extract weeks of content from 1 client call)
All built with Claude, so you can install them as Skills and use them in any Claude chat.
(And I've included the 102 content templates in their original form, so you can see exactly what the Skills are trained on!)
Originally, I built these for my own content workflow.
But they've saved me so much time, I figured other writers, creators, and ghostwriters deserved them too.
Want access?
Comment "social"
I'll send the Skills Pack over ASAP.
(If we're not connected, send me a request with the word "social" and I'll DM you the Pack.)
PS - Installing all 5 skills takes about 30 seconds. Then Claude knows all 102 templates by heart. Been a huge upgrade to my content writing.</x:v>
      </x:c>
      <x:c r="D94" s="61" t="str">
        <x:v>966316881ceb7545533c26a3039d56a5aac1d6ee00ea95fdea65d9c3b3c93731</x:v>
      </x:c>
      <x:c r="E94" s="61" t="str">
        <x:v>93.jpeg</x:v>
      </x:c>
      <x:c r="F94" s="61" t="str">
        <x:v>/Users/tigershetty/Documents/Codex/2026-06-30/ho/Codex-Linkedin-V3/infographic-setup/references/top 100/93.jpeg</x:v>
      </x:c>
      <x:c r="G94" s="61" t="str">
        <x:v>ba44c6a9c057ec3a83d2d31d03c5516ad2babbdbb258864477313c2a3bfeba5a</x:v>
      </x:c>
      <x:c r="H94" s="64" t="b">
        <x:v>1</x:v>
      </x:c>
      <x:c r="I94" s="61"/>
      <x:c r="J94" s="61" t="str">
        <x:v>resolved</x:v>
      </x:c>
      <x:c r="K94" s="61" t="str">
        <x:v>high</x:v>
      </x:c>
      <x:c r="L94" s="61" t="str">
        <x:v>Nicolas Cole</x:v>
      </x:c>
      <x:c r="M94" s="61" t="str">
        <x:v>https://www.linkedin.com/in/nicolascole</x:v>
      </x:c>
      <x:c r="N94" s="61" t="str">
        <x:v>https://www.linkedin.com/posts/nicolascole_i-just-packaged-102-of-my-best-content-templates-activity-7447623181395484672-lcbr</x:v>
      </x:c>
      <x:c r="O94" s="62"/>
      <x:c r="P94" s="61" t="str">
        <x:v>Nicolas Cole</x:v>
      </x:c>
      <x:c r="Q94" s="61" t="str"/>
      <x:c r="R94" s="61" t="str">
        <x:v>Premium Ghostwriting Academy</x:v>
      </x:c>
      <x:c r="S94" s="61" t="str">
        <x:v>external_transferable</x:v>
      </x:c>
      <x:c r="T94" s="61" t="str">
        <x:v>no</x:v>
      </x:c>
      <x:c r="U94" s="61" t="str">
        <x:v>https://www.linkedin.com/posts/nicolascole_i-just-packaged-102-of-my-best-content-templates-activity-7447623181395484672-lcbr</x:v>
      </x:c>
      <x:c r="V94" s="22" t="str">
        <x:v>Exact caption match.</x:v>
      </x:c>
      <x:c r="W94" s="61" t="str">
        <x:v>no</x:v>
      </x:c>
      <x:c r="X94" s="61" t="str">
        <x:v>curated_top100_workbook</x:v>
      </x:c>
      <x:c r="Y94" s="22" t="str"/>
    </x:row>
    <x:row r="95" ht="24" customHeight="1">
      <x:c r="A95" s="69" t="n">
        <x:v>94</x:v>
      </x:c>
      <x:c r="B95" s="69" t="n">
        <x:v>96</x:v>
      </x:c>
      <x:c r="C95" s="70" t="str">
        <x:v>Supply chain and procurement speak their own language.
This infographic shows 65 acronyms across planning, logistics &amp; procurement:
# 1 - 3PL – Third-Party Logistics
# 2 - 4PL – Fourth-Party Logistics
# 3 - AP – Accounts Payable
# 4 - APS – Advanced Planning System
# 5 - BOM – Bill of Materials
# 6 - BOL – Bill of Lading
# 7 - BPO – Business Process Outsourcing
# 8 - CAPEX – Capital Expenditure
# 9 - CFR – Cost and Freight
# 10 - CIF – Cost, Insurance and Freight
# 11 - COGS – Cost of Goods Sold
# 12 - CRP – Capacity Requirement Planning
# 13 - DAP – Delivered At Place
# 14 - DC – Distribution Center
# 15 - DDP – Delivered Duty Paid
# 16 - DRP – Distribution Requirement Planning
# 17 - DTS – Days to Ship
# 18 - EBIT – Earnings Before Interest &amp; Taxes
# 19 - EBITDA – Earnings Before Interest, Taxes, Depreciation &amp; Amortization
# 20 - EOQ – Economic Order Quantity
# 21 - ERP – Enterprise Resource Planning
# 22 - ETA – Estimated Time of Arrival
# 23 - ETD – Estimated Time of Departure
# 24 - FCL – Full Container Load
# 25 - FP&amp;A – Financial Planning &amp; Analysis
# 26 - FTL – Full Truckload
# 27 - GI – Goods Issue
# 28 - GM – Gross Margin
# 29 - GR – Goods Receipt
# 30 - GRN – Goods Receipt Note
# 31 - IBP – Integrated Business Planning
# 32 - KPI – Key Performance Indicator
# 33 - LCL – Less than Container Load
# 34 - LTL – Less Than Truckload
# 35 - MAPE – Mean Absolute Percentage Error
# 36 - ML Model – Machine Learning Model
# 37 - MoM – Month over Month
# 38 - MOQ – Minimum Order Quantity
# 39 - MPS – Master Production Schedule
# 40 - MRP – Material Requirement Planning
# 41 - OPEX – Operational Expenditure
# 42 - OTD – On-Time Delivery
# 43 - OTIF – On Time In Full
# 44 - P2P – Procure to Pay
# 45 - PO – Purchase Order
# 46 - POD – Proof of Delivery
# 47 - PR – Purchase Requisition
# 48 - RCCP – Rough Cut Capacity Planning
# 49 - RFI – Request for Information
# 50 - RFP – Request for Proposal
# 51 - RFQ – Request for Quotation
# 52 - S&amp;OE – Sales and Operations Execution
# 53 - S&amp;OP – Sales and Operations Planning
# 54 - SIOP – Sales, Inventory, and Operations Planning
# 55 - SKU – Stock Keeping Unit
# 56 - SLA – Service Level Agreement
# 57 - SRM – Supplier Relationship Management
# 58 - TCO – Total Cost of Ownership
# 59 - TMS – Transportation Management System
# 60 - UM – Unit of Measure
# 61 - WMS – Warehouse Management System
# 62 - WMAPE – Weighted Mean Absolute Percentage Error
# 63 - WoW – Week over Week
# 64 - xP&amp;A – Extended Planning and Analysis
# 65 - YTD – Year to Date</x:v>
      </x:c>
      <x:c r="D95" s="61" t="str">
        <x:v>dbc67bf609d474a8a99a65d82446f5f24f8503682cd0632292ba3e340c1a1a62</x:v>
      </x:c>
      <x:c r="E95" s="61" t="str">
        <x:v>94.jpeg</x:v>
      </x:c>
      <x:c r="F95" s="61" t="str">
        <x:v>/Users/tigershetty/Documents/Codex/2026-06-30/ho/Codex-Linkedin-V3/infographic-setup/references/top 100/94.jpeg</x:v>
      </x:c>
      <x:c r="G95" s="61" t="str">
        <x:v>65433395ec9c48b76bc4aac952f340ca3d26ed01f1ea98b1a16def2c67e0ca10</x:v>
      </x:c>
      <x:c r="H95" s="64" t="b">
        <x:v>1</x:v>
      </x:c>
      <x:c r="I95" s="61"/>
      <x:c r="J95" s="61" t="str">
        <x:v>resolved</x:v>
      </x:c>
      <x:c r="K95" s="61" t="str">
        <x:v>high</x:v>
      </x:c>
      <x:c r="L95" s="61" t="str">
        <x:v>Marcia D Williams</x:v>
      </x:c>
      <x:c r="M95" s="61" t="str">
        <x:v>https://www.linkedin.com/in/marciadwilliams</x:v>
      </x:c>
      <x:c r="N95" s="61" t="str">
        <x:v>https://www.linkedin.com/posts/marciadwilliams_supply-chain-and-procurement-speak-their-activity-7446894707063902208-PDbB</x:v>
      </x:c>
      <x:c r="O95" s="62"/>
      <x:c r="P95" s="61" t="str">
        <x:v>Marcia D Williams</x:v>
      </x:c>
      <x:c r="Q95" s="61" t="str"/>
      <x:c r="R95" s="61" t="str">
        <x:v>Marcia D Williams</x:v>
      </x:c>
      <x:c r="S95" s="61" t="str">
        <x:v>direct_scm</x:v>
      </x:c>
      <x:c r="T95" s="61" t="str">
        <x:v>no</x:v>
      </x:c>
      <x:c r="U95" s="61" t="str">
        <x:v>https://www.linkedin.com/posts/marciadwilliams_supply-chain-and-procurement-speak-their-activity-7446894707063902208-PDbB</x:v>
      </x:c>
      <x:c r="V95" s="22" t="str">
        <x:v>Exact caption and visual match.</x:v>
      </x:c>
      <x:c r="W95" s="61" t="str">
        <x:v>no</x:v>
      </x:c>
      <x:c r="X95" s="61" t="str">
        <x:v>curated_top100_workbook</x:v>
      </x:c>
      <x:c r="Y95" s="22" t="str"/>
    </x:row>
    <x:row r="96" ht="24" customHeight="1">
      <x:c r="A96" s="69" t="n">
        <x:v>95</x:v>
      </x:c>
      <x:c r="B96" s="69" t="n">
        <x:v>97</x:v>
      </x:c>
      <x:c r="C96" s="70" t="str">
        <x:v>Deloitte published a piece on the agentic supply chain worth reading if you’re in manufacturing or supply chain.
A few things that stood out:
• Agents support a more continuous planning approach through sensing, decision-making, and response instead of waiting on traditional planning cycles.
• This isn’t one agent doing everything. It’s layered across cross-functional, domain, and task-level agents working together across the flow.
• Dropping agents into existing workflows may miss the mark. Redesigning workflows around what humans and agents each do well provides more benefit.
• Humans still own oversight, judgment, and decision thresholds. Agents operate within those boundaries. Governance is treated as foundational, not something added later.
Deloitte also cited Gartner’s projection that ~50% of supply chain management solutions will include agentic AI by 2030. I can see this happening.
Lately I’ve been using Claude to run some simple agents with anonymized data. Things like checking planning data (lead times, purchase order dates, safety stock, etc.), flagging errors, and suggesting corrections based on defined rules or analysis. I’ve also been using it to run existing Python scripts against historical demand and generate forecast recommendations across different models for comparison and approval.
It’s still early, though the shift is noticeable from a productivity standpoint.
Curious how much value is showing up in practice for others?
hashtag#SupplyChain hashtag#AI
(Image source: Deloitte, The agentic supply chain in manufacturing)</x:v>
      </x:c>
      <x:c r="D96" s="61" t="str">
        <x:v>4c2e10ac29da37bb7a03f216da8846ac7f05607d726e210ca7f280d89f7eb050</x:v>
      </x:c>
      <x:c r="E96" s="61" t="str">
        <x:v>95.jpeg</x:v>
      </x:c>
      <x:c r="F96" s="61" t="str">
        <x:v>/Users/tigershetty/Documents/Codex/2026-06-30/ho/Codex-Linkedin-V3/infographic-setup/references/top 100/95.jpeg</x:v>
      </x:c>
      <x:c r="G96" s="61" t="str">
        <x:v>22b71398434e20c1bc25870ffcf8e316ee748823bd6b4da0170a3c1221be70cb</x:v>
      </x:c>
      <x:c r="H96" s="64" t="b">
        <x:v>1</x:v>
      </x:c>
      <x:c r="I96" s="61"/>
      <x:c r="J96" s="61" t="str">
        <x:v>resolved</x:v>
      </x:c>
      <x:c r="K96" s="61" t="str">
        <x:v>high</x:v>
      </x:c>
      <x:c r="L96" s="61" t="str">
        <x:v>Ben Willis</x:v>
      </x:c>
      <x:c r="M96" s="61" t="str">
        <x:v>https://www.linkedin.com/in/benjamintwillis</x:v>
      </x:c>
      <x:c r="N96" s="61" t="str">
        <x:v>https://www.linkedin.com/posts/benjamintwillis_supplychain-ai-activity-7447320076212412416-zFS7</x:v>
      </x:c>
      <x:c r="O96" s="62"/>
      <x:c r="P96" s="61" t="str">
        <x:v>Deloitte</x:v>
      </x:c>
      <x:c r="Q96" s="61" t="str"/>
      <x:c r="R96" s="61" t="str">
        <x:v>Deloitte</x:v>
      </x:c>
      <x:c r="S96" s="61" t="str">
        <x:v>direct_scm</x:v>
      </x:c>
      <x:c r="T96" s="61" t="str">
        <x:v>no</x:v>
      </x:c>
      <x:c r="U96" s="61" t="str">
        <x:v>https://www.linkedin.com/posts/benjamintwillis_supplychain-ai-activity-7447320076212412416-zFS7</x:v>
      </x:c>
      <x:c r="V96" s="22" t="str">
        <x:v>Posting author, article source, and image source are separate.</x:v>
      </x:c>
      <x:c r="W96" s="61" t="str">
        <x:v>no</x:v>
      </x:c>
      <x:c r="X96" s="61" t="str">
        <x:v>curated_top100_workbook</x:v>
      </x:c>
      <x:c r="Y96" s="22" t="str"/>
    </x:row>
    <x:row r="97" ht="24" customHeight="1">
      <x:c r="A97" s="69" t="n">
        <x:v>96</x:v>
      </x:c>
      <x:c r="B97" s="69" t="n">
        <x:v>98</x:v>
      </x:c>
      <x:c r="C97" s="70" t="str">
        <x:v>Forecasting is not guessing — it’s structured decision making.
Choosing the right forecasting method can directly impact:
✔ Inventory levels
✔ Capacity utilization
✔ Customer delivery performance
Here are 4 widely used forecasting techniques every planner should know:
🔹 Naive / Simple Average
Best for stable demand with minimal variation. Quick and easy starting point.
🔹 Simple Moving Average (SMA)
Smooths fluctuations by averaging past ‘n’ periods. Ideal for moderate variability.
🔹 Weighted Moving Average (WMA)
Gives more importance to recent data (e.g., 0.5, 0.3, 0.2). Useful when trends are changing.
🔹 Exponential Smoothing
Applies a smoothing factor (α) to make forecasts more responsive. Best for dynamic and volatile demand.
No single method works for all scenarios.
 The real strength lies in:
👉 Understanding demand behavior
👉 Selecting the right model
👉 Continuously improving accuracy using MAPE, Bias &amp; Tracking Signal</x:v>
      </x:c>
      <x:c r="D97" s="61" t="str">
        <x:v>b68805f59bc0bb8817ff04c389abb72cb05b8fd4a022d18a346878c11f0e678a</x:v>
      </x:c>
      <x:c r="E97" s="61" t="str">
        <x:v>96.jpeg</x:v>
      </x:c>
      <x:c r="F97" s="61" t="str">
        <x:v>/Users/tigershetty/Documents/Codex/2026-06-30/ho/Codex-Linkedin-V3/infographic-setup/references/top 100/96.jpeg</x:v>
      </x:c>
      <x:c r="G97" s="61" t="str">
        <x:v>b5a0287160d61b4a2d0ecacde9d6b90bdb65bffc718d0e197716e093f1fd20a8</x:v>
      </x:c>
      <x:c r="H97" s="64" t="b">
        <x:v>1</x:v>
      </x:c>
      <x:c r="I97" s="61"/>
      <x:c r="J97" s="61" t="str">
        <x:v>resolved</x:v>
      </x:c>
      <x:c r="K97" s="61" t="str">
        <x:v>high</x:v>
      </x:c>
      <x:c r="L97" s="61" t="str">
        <x:v>Dinesh Krishna</x:v>
      </x:c>
      <x:c r="M97" s="61" t="str">
        <x:v>https://www.linkedin.com/in/dinesh-krishna-4a568782</x:v>
      </x:c>
      <x:c r="N97" s="61" t="str">
        <x:v>https://www.linkedin.com/posts/dinesh-krishna-4a568782_ppc-forecasting-supplychain-activity-7444403543404359680-qpoi</x:v>
      </x:c>
      <x:c r="O97" s="62"/>
      <x:c r="P97" s="61" t="str">
        <x:v>Dinesh Krishna</x:v>
      </x:c>
      <x:c r="Q97" s="61" t="str"/>
      <x:c r="R97" s="61" t="str">
        <x:v>Dinesh Krishna</x:v>
      </x:c>
      <x:c r="S97" s="61" t="str">
        <x:v>direct_scm</x:v>
      </x:c>
      <x:c r="T97" s="61" t="str">
        <x:v>no</x:v>
      </x:c>
      <x:c r="U97" s="61" t="str">
        <x:v>https://www.linkedin.com/posts/dinesh-krishna-4a568782_ppc-forecasting-supplychain-activity-7444403543404359680-qpoi</x:v>
      </x:c>
      <x:c r="V97" s="22" t="str">
        <x:v>Exact caption match.</x:v>
      </x:c>
      <x:c r="W97" s="61" t="str">
        <x:v>no</x:v>
      </x:c>
      <x:c r="X97" s="61" t="str">
        <x:v>curated_top100_workbook</x:v>
      </x:c>
      <x:c r="Y97" s="22" t="str"/>
    </x:row>
    <x:row r="98" ht="24" customHeight="1">
      <x:c r="A98" s="69" t="n">
        <x:v>97</x:v>
      </x:c>
      <x:c r="B98" s="69" t="n">
        <x:v>99</x:v>
      </x:c>
      <x:c r="C98" s="70" t="str">
        <x:v>𝗖𝗹𝗮𝘂𝗱𝗲 𝗖𝗼𝗱𝗲 𝗰𝗮𝗻 𝗻𝗼𝘄 𝗿𝘂𝗻 𝘆𝗼𝘂𝗿 𝗽𝗿𝗼𝗰𝘂𝗿𝗲𝗺𝗲𝗻𝘁 𝘄𝗼𝗿𝗸𝗳𝗹𝗼𝘄𝘀 𝟮𝟰/𝟳.
𝗠𝗼𝘀𝘁 𝘀𝘂𝗽𝗽𝗹𝘆 𝗰𝗵𝗮𝗶𝗻 𝘁𝗲𝗮𝗺𝘀 𝗵𝗮𝘃𝗲 𝗻𝗼 𝗶𝗱𝗲𝗮 𝘁𝗵𝗶𝘀 𝗲𝘅𝗶𝘀𝘁𝘀.
This isn't ChatGPT in a browser.
This is AI that connects to your SAP. 
Monitors 200+ suppliers while you sleep. 
Drafts RFQs for 15 vendors in minutes. 
Flags contract breaches automatically.
Here's what Claude Code actually does for procurement:
→ 𝗛𝗼𝗼𝗸𝘀: "When spend exceeds $50K, run compliance check." Zero manual intervention. 
→ 𝗦𝗸𝗶𝗹𝗹𝘀: Build an RFQ generator once. Reuse it forever. New hires inherit your best practices. 
→ /𝗹𝗼𝗼𝗽: Check supplier risk scores every 2 hours. Scan regulatory changes every 12 hours. On autopilot. 
→ 𝗠𝗖𝗣 𝗦𝗲𝗿𝘃𝗲𝗿𝘀: Connect Claude to your ERP, invoices, supplier master. No platform migration. 
→ 𝗩𝗼𝗶𝗰𝗲: Approve POs from the warehouse floor. Dictate supplier notes on the go. 
→ 𝗔𝗴𝗲𝗻𝘁 𝗦𝗗𝗞: Autonomous agents that source, score, and monitor suppliers around the clock.
Real results people are seeing:
→ Sourcing events: from 2-3 days to 2-3 hours 
→ Supplier failure prediction: 75-85% accuracy 
→ Working capital recovery: 15-25%
This is where procurement AI stops being a chatbot and starts being infrastructure.
Full breakdown in the infographic below 👇
Free AI toolkits and prompt libraries here:
🔗 https://lnkd.in/ePdsmWP4
Follow Asmaa Gad + Supply Chain AI Pro for daily AI tips in supply chain
hashtag#SupplyChain hashtag#AI hashtag#Procurement hashtag#ClaudeCode hashtag#Gen</x:v>
      </x:c>
      <x:c r="D98" s="61" t="str">
        <x:v>cc170c027c1e6d7a2a72fbe35ad9382b7e973f121fb453b543e9446d554c8055</x:v>
      </x:c>
      <x:c r="E98" s="61" t="str">
        <x:v>97.jpeg</x:v>
      </x:c>
      <x:c r="F98" s="61" t="str">
        <x:v>/Users/tigershetty/Documents/Codex/2026-06-30/ho/Codex-Linkedin-V3/infographic-setup/references/top 100/97.jpeg</x:v>
      </x:c>
      <x:c r="G98" s="61" t="str">
        <x:v>78b257bab70aecdf4d71c43a1ff6a37079a27e2827628022d61841a35c3e9951</x:v>
      </x:c>
      <x:c r="H98" s="64" t="b">
        <x:v>1</x:v>
      </x:c>
      <x:c r="I98" s="61"/>
      <x:c r="J98" s="61" t="str">
        <x:v>resolved</x:v>
      </x:c>
      <x:c r="K98" s="61" t="str">
        <x:v>high</x:v>
      </x:c>
      <x:c r="L98" s="61" t="str">
        <x:v>Asmaa Gad</x:v>
      </x:c>
      <x:c r="M98" s="61" t="str">
        <x:v>https://www.linkedin.com/in/supplychainaipro</x:v>
      </x:c>
      <x:c r="N98" s="61" t="str"/>
      <x:c r="O98" s="62"/>
      <x:c r="P98" s="61" t="str">
        <x:v>Asmaa Gad</x:v>
      </x:c>
      <x:c r="Q98" s="61" t="str"/>
      <x:c r="R98" s="61" t="str">
        <x:v>Supply Chain AI Pro / Asmaa Gad</x:v>
      </x:c>
      <x:c r="S98" s="61" t="str">
        <x:v>direct_scm</x:v>
      </x:c>
      <x:c r="T98" s="61" t="str">
        <x:v>yes</x:v>
      </x:c>
      <x:c r="U98" s="61" t="str"/>
      <x:c r="V98" s="22" t="str">
        <x:v>Author and brand are explicit on local visual; exact permalink unresolved.</x:v>
      </x:c>
      <x:c r="W98" s="61" t="str">
        <x:v>yes</x:v>
      </x:c>
      <x:c r="X98" s="61" t="str">
        <x:v>curated_top100_workbook</x:v>
      </x:c>
      <x:c r="Y98" s="22" t="str"/>
    </x:row>
    <x:row r="99" ht="24" customHeight="1">
      <x:c r="A99" s="69" t="n">
        <x:v>98</x:v>
      </x:c>
      <x:c r="B99" s="69" t="n">
        <x:v>100</x:v>
      </x:c>
      <x:c r="C99" s="70" t="str">
        <x:v>AI isn’t complicated. 
You were just taught badly.
Most people don’t struggle with AI… 
They struggle with the jargon.
So I broke down 40 AI terms into something your brain actually understands.
A few months ago, 
I realised something weird.
People weren’t scared of AI.
They were confused by words like “LLM”, “tokens”, “fine-tuning”.
And confusion ends action-taking ability.
So instead of learning AI…
They scroll past it.
That’s a huge mistake.
Because once you decode the language,
AI becomes simple, practical, and insanely powerful.
Here’s how to actually think about AI 👇
AI is all about its layers.
→ Data (what it learns from)
→ Training (how it learns)
→ Model (what it becomes)
→ Output (what you see)
Let me simplify some of the most misunderstood concepts:
• Bias → AI reflects its training data
• Tokens → how AI reads text (not words, chunks)
• Dataset → the “experience” AI learns from
• Training → repetition until patterns stick
• Inference → when AI actually gives answers
Now the powerful stuff:
✅ Machine Learning → learning from data
✅ Deep Learning → learning with neural networks
✅ LLMs → AI that understands and writes language
✅ Generative AI → creates new content
✅ AI Agents → do tasks on their own
And the things people ignore but shouldn’t:
Hallucination → AI can confidently be wrong
Overfitting → memorizing instead of understanding
Guardrails → safety boundaries
Explainability → can you trust what it says?
Then comes the real unlock:
→ Prompts decide output
→ Fine-tuning improves accuracy
→ APIs connect AI to real systems
→ Automation turns AI into leverage
Here’s the truth no one tells you:
AI is just layered.
Once you understand the building blocks,
You stop “using tools”…
And start thinking like a builder.
If you’re serious about staying ahead:
→ Save this
→Study the terms
→ Use them in real workflows
And most importantly…
Check the infographic below 👇 
I’ve broken everything down so it sticks instantly.
Let’s make this practical:
Are you investing time in learning AI every day?
Comment below 👇
If this helped you think clearer about AI:
➕ Follow me for simple breakdowns like this
🔁 Repost this so others stop overcomplicating it</x:v>
      </x:c>
      <x:c r="D99" s="61" t="str">
        <x:v>b0b7ab863825eaafeab52911cd65d7b54cc9e1702b7875199d407ca29d1e35c6</x:v>
      </x:c>
      <x:c r="E99" s="61" t="str">
        <x:v>98.jpeg</x:v>
      </x:c>
      <x:c r="F99" s="61" t="str">
        <x:v>/Users/tigershetty/Documents/Codex/2026-06-30/ho/Codex-Linkedin-V3/infographic-setup/references/top 100/98.jpeg</x:v>
      </x:c>
      <x:c r="G99" s="61" t="str">
        <x:v>f90085340343550f851cdff62dad823d3793c48b70ffadb3238609f0ee433ba1</x:v>
      </x:c>
      <x:c r="H99" s="64" t="b">
        <x:v>1</x:v>
      </x:c>
      <x:c r="I99" s="61"/>
      <x:c r="J99" s="61" t="str">
        <x:v>resolved</x:v>
      </x:c>
      <x:c r="K99" s="61" t="str">
        <x:v>high</x:v>
      </x:c>
      <x:c r="L99" s="61" t="str">
        <x:v>Jonathan Parsons</x:v>
      </x:c>
      <x:c r="M99" s="61" t="str">
        <x:v>https://www.linkedin.com/in/jonathan-parsons-marketing</x:v>
      </x:c>
      <x:c r="N99" s="61" t="str">
        <x:v>https://www.linkedin.com/posts/jonathan-parsons-marketing_ai-isnt-complicated-you-were-just-taught-activity-7465809158206865409-mlld</x:v>
      </x:c>
      <x:c r="O99" s="62"/>
      <x:c r="P99" s="61" t="str">
        <x:v>Jonathan Parsons</x:v>
      </x:c>
      <x:c r="Q99" s="61" t="str"/>
      <x:c r="R99" s="61" t="str">
        <x:v>Jonathan Parsons</x:v>
      </x:c>
      <x:c r="S99" s="61" t="str">
        <x:v>implementation_adjacent</x:v>
      </x:c>
      <x:c r="T99" s="61" t="str">
        <x:v>no</x:v>
      </x:c>
      <x:c r="U99" s="61" t="str">
        <x:v>https://www.linkedin.com/posts/jonathan-parsons-marketing_ai-isnt-complicated-you-were-just-taught-activity-7465809158206865409-mlld</x:v>
      </x:c>
      <x:c r="V99" s="22" t="str">
        <x:v>Exact caption and visual match.</x:v>
      </x:c>
      <x:c r="W99" s="61" t="str">
        <x:v>no</x:v>
      </x:c>
      <x:c r="X99" s="61" t="str">
        <x:v>curated_top100_workbook</x:v>
      </x:c>
      <x:c r="Y99" s="22" t="str"/>
    </x:row>
    <x:row r="100" ht="24" customHeight="1">
      <x:c r="A100" s="69" t="n">
        <x:v>99</x:v>
      </x:c>
      <x:c r="B100" s="69" t="n">
        <x:v>101</x:v>
      </x:c>
      <x:c r="C100" s="70" t="str">
        <x:v>Most Supply Chain Professionals Know Operations.
But Very Few Truly Know Excel.
With 15+ years of Logistics &amp; International Business experience, I’ve observed one clear pattern:
👉 Students understand concepts.
 👉 Professionals understand operations.
 ❌ But many struggle with Excel — the real backbone of supply chain decision-making.
Whether you are handling:
 • Inventory planning
 • Freight cost analysis
 • Lead time tracking
 • Demand forecasting
 • Supplier performance review
 • Safety stock calculation
Excel is not optional.
It is your silent competitive advantage.
Recently, I compiled a list of 50 Excel formulas that every Supply Chain &amp; Logistics professional must know.
Not fancy formulas.
Not theoretical ones.
But formulas that are used daily in:
 ✔ Inventory sheets
 ✔ Freight comparison files
 ✔ MIS reports
 ✔ Forecast models
 ✔ KPI dashboards
 ✔ Purchase planning sheets
Here are a few examples:
 • SUMIFS() – Multi-condition cost analysis
 • XLOOKUP() – Faster and cleaner than VLOOKUP
 • IF() – Reorder level alerts
 • DATEDIF() – Transit time calculation
 • NETWORKDAYS() – Working day calculation
 • FORECAST.LINEAR() – Demand projection
 • STDEV() – Safety stock support
 • IFERROR() – Clean reporting
Most professionals only use 5–6 formulas.
But mastering 30–40 of them can change how you analyze data forever.
📌 If you are a:
 • Student of Logistics
 • Export-Import Executive
 • Supply Chain Planner
 • Warehouse Manager
 • Procurement Professional
You should build strong Excel capability this year. Because data-driven professionals grow faster.</x:v>
      </x:c>
      <x:c r="D100" s="61" t="str">
        <x:v>4c88ec99a14388b94374219c0b91480fca163ca39f3616e873aa1caea69ee8a8</x:v>
      </x:c>
      <x:c r="E100" s="61" t="str">
        <x:v>99.jpeg</x:v>
      </x:c>
      <x:c r="F100" s="61" t="str">
        <x:v>/Users/tigershetty/Documents/Codex/2026-06-30/ho/Codex-Linkedin-V3/infographic-setup/references/top 100/99.jpeg</x:v>
      </x:c>
      <x:c r="G100" s="61" t="str">
        <x:v>9430757067f8fd3fe635bf457f84c433a2f23621d3a56a7ab32ddf5a3a45519a</x:v>
      </x:c>
      <x:c r="H100" s="64" t="b">
        <x:v>1</x:v>
      </x:c>
      <x:c r="I100" s="61"/>
      <x:c r="J100" s="61" t="str">
        <x:v>resolved</x:v>
      </x:c>
      <x:c r="K100" s="61" t="str">
        <x:v>high</x:v>
      </x:c>
      <x:c r="L100" s="61" t="str">
        <x:v>Logistics Guide</x:v>
      </x:c>
      <x:c r="M100" s="61" t="str">
        <x:v>https://www.linkedin.com/company/logistics-guide-2a9652167</x:v>
      </x:c>
      <x:c r="N100" s="61" t="str">
        <x:v>https://www.linkedin.com/posts/logistics-guide-2a9652167_supplychain-logistics-excel-activity-7445658855327375360-z43w</x:v>
      </x:c>
      <x:c r="O100" s="62"/>
      <x:c r="P100" s="61" t="str">
        <x:v>Logistics Guide</x:v>
      </x:c>
      <x:c r="Q100" s="61" t="str"/>
      <x:c r="R100" s="61" t="str">
        <x:v>Logistics Guide</x:v>
      </x:c>
      <x:c r="S100" s="61" t="str">
        <x:v>direct_scm</x:v>
      </x:c>
      <x:c r="T100" s="61" t="str">
        <x:v>no</x:v>
      </x:c>
      <x:c r="U100" s="61" t="str">
        <x:v>https://www.linkedin.com/posts/logistics-guide-2a9652167_supplychain-logistics-excel-activity-7445658855327375360-z43w</x:v>
      </x:c>
      <x:c r="V100" s="22" t="str">
        <x:v>Company-page poster; exact caption match.</x:v>
      </x:c>
      <x:c r="W100" s="61" t="str">
        <x:v>no</x:v>
      </x:c>
      <x:c r="X100" s="61" t="str">
        <x:v>curated_top100_workbook</x:v>
      </x:c>
      <x:c r="Y100" s="22" t="str"/>
    </x:row>
    <x:row r="101" ht="24" customHeight="1">
      <x:c r="A101" s="69" t="n">
        <x:v>100</x:v>
      </x:c>
      <x:c r="B101" s="69" t="n">
        <x:v>102</x:v>
      </x:c>
      <x:c r="C101" s="70" t="str">
        <x:v>Most people think they're "using AI." 
They're still on Level 1.
I was too. For a long time. Asking questions, getting answers, copying and pasting into my docs. 
It felt productive. But I was still doing all the work.
Then I started building workflows that ran without me. Level 2.
One trigger, everything handled. 
Big shift, but it was rigid and often complex.
One thing goes sideways and the whole thing breaks.
Now I'm at Level 3 - which ironically takes the least of my time.
That's kind of the point.
I describe what I want done. The agent figures out the how. I come back to a completed deliverable.
The business I'm running today would've required 3x the team size two years ago. Same revenue. Same output quality. A fraction of the overhead.
Level 1 was me being faster. Level 2 was me building systems. Level 3 is me running a business that doesn't need me for execution.
The companies that adapt to that reality are going to dominate. The ones that don't are going to be competing with one hand tied behind their back.
I'm not trying to scare you. I'm trying to show you what's possible when you stop asking AI for help and start giving it responsibility.
-DM
P.S. I put together a doc with 30+ AI tools organized by what they actually do - chatbots, agents, workflows, content, creative, productivity. The whole stack. Message me "AISTACK" and I'll send it over 👊
---
Enjoyed this?
Join 300,000+ entrepreneurs receiving my weekly insights: https://bit.ly/3RQoZ9U</x:v>
      </x:c>
      <x:c r="D101" s="61" t="str">
        <x:v>ea011cec2c828e5f4c77e1a3d5705fda21b310f3c383180c71f8ec7d5c2a0912</x:v>
      </x:c>
      <x:c r="E101" s="61" t="str">
        <x:v>100.jpeg</x:v>
      </x:c>
      <x:c r="F101" s="61" t="str">
        <x:v>/Users/tigershetty/Documents/Codex/2026-06-30/ho/Codex-Linkedin-V3/infographic-setup/references/top 100/100.jpeg</x:v>
      </x:c>
      <x:c r="G101" s="61" t="str">
        <x:v>972cd3c09a4cf2fb335852211f0ebcbb6f5bc1be4fe90b92aa43cf871b11c36e</x:v>
      </x:c>
      <x:c r="H101" s="64" t="b">
        <x:v>1</x:v>
      </x:c>
      <x:c r="I101" s="61"/>
      <x:c r="J101" s="61" t="str">
        <x:v>resolved</x:v>
      </x:c>
      <x:c r="K101" s="61" t="str">
        <x:v>high</x:v>
      </x:c>
      <x:c r="L101" s="61" t="str">
        <x:v>Dan Martell</x:v>
      </x:c>
      <x:c r="M101" s="61" t="str">
        <x:v>https://www.linkedin.com/in/dmartell</x:v>
      </x:c>
      <x:c r="N101" s="61" t="str">
        <x:v>https://www.linkedin.com/posts/dmartell_most-people-think-theyre-using-ai-theyre-activity-7444261643456364545-Gl7j</x:v>
      </x:c>
      <x:c r="O101" s="62"/>
      <x:c r="P101" s="61" t="str">
        <x:v>Dan Martell</x:v>
      </x:c>
      <x:c r="Q101" s="61" t="str"/>
      <x:c r="R101" s="61" t="str">
        <x:v>Dan Martell</x:v>
      </x:c>
      <x:c r="S101" s="61" t="str">
        <x:v>implementation_adjacent</x:v>
      </x:c>
      <x:c r="T101" s="61" t="str">
        <x:v>no</x:v>
      </x:c>
      <x:c r="U101" s="61" t="str">
        <x:v>https://www.linkedin.com/posts/dmartell_most-people-think-theyre-using-ai-theyre-activity-7444261643456364545-Gl7j</x:v>
      </x:c>
      <x:c r="V101" s="22" t="str">
        <x:v>Exact caption and visual match.</x:v>
      </x:c>
      <x:c r="W101" s="61" t="str">
        <x:v>no</x:v>
      </x:c>
      <x:c r="X101" s="61" t="str">
        <x:v>curated_top100_workbook</x:v>
      </x:c>
      <x:c r="Y101" s="22" t="str"/>
    </x:row>
  </x:sheetData>
  <x:conditionalFormatting sqref="J2:J101">
    <x:cfRule type="containsText" dxfId="5" priority="1" operator="containsText" text="resolved"/>
    <x:cfRule type="containsText" dxfId="6" priority="2" operator="containsText" text="conflict"/>
  </x:conditionalFormatting>
  <x:conditionalFormatting sqref="I2:I101">
    <x:cfRule type="notContainsBlanks" dxfId="7" priority="3"/>
  </x:conditionalFormatting>
  <x:dataValidations count="5">
    <x:dataValidation type="list" sqref="J2:J101">
      <x:formula1>"unresolved,in_progress,resolved,conflict,unavailable"</x:formula1>
    </x:dataValidation>
    <x:dataValidation type="list" sqref="K2:K101">
      <x:formula1>"high,medium,low,unresolved"</x:formula1>
    </x:dataValidation>
    <x:dataValidation type="list" sqref="S2:S101">
      <x:formula1>"direct_scm,implementation_adjacent,external_transferable,unresolved"</x:formula1>
    </x:dataValidation>
    <x:dataValidation type="list" sqref="T2:T101">
      <x:formula1>"yes,no,unverified"</x:formula1>
    </x:dataValidation>
    <x:dataValidation type="list" sqref="W2:W101">
      <x:formula1>"yes,no,unverified"</x:formula1>
    </x:dataValidation>
  </x:dataValidations>
  <x:pageMargins left="0.7" right="0.7" top="0.75" bottom="0.75" header="0.3" footer="0.3"/>
  <x:tableParts count="1">
    <x:tablePart xmlns:r="http://schemas.openxmlformats.org/officeDocument/2006/relationships" r:id="Rce25bd6b363e469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23" hidden="0" customWidth="1"/>
    <x:col min="3" max="3" width="23" hidden="0" customWidth="1"/>
    <x:col min="4" max="4" width="24" hidden="0" customWidth="1"/>
    <x:col min="5" max="5" width="38" hidden="0" customWidth="1"/>
    <x:col min="6" max="6" width="16" hidden="0" customWidth="1"/>
    <x:col min="7" max="7" width="16" hidden="0" customWidth="1"/>
    <x:col min="8" max="8" width="24" hidden="0" customWidth="1"/>
    <x:col min="9" max="9" width="44"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68" t="str">
        <x:v>candidate_id</x:v>
      </x:c>
      <x:c r="B1" s="68" t="str">
        <x:v>cohort</x:v>
      </x:c>
      <x:c r="C1" s="68" t="str">
        <x:v>size_stratum</x:v>
      </x:c>
      <x:c r="D1" s="68" t="str">
        <x:v>creator</x:v>
      </x:c>
      <x:c r="E1" s="68" t="str">
        <x:v>profile_url</x:v>
      </x:c>
      <x:c r="F1" s="68" t="str">
        <x:v>approx_followers</x:v>
      </x:c>
      <x:c r="G1" s="68" t="str">
        <x:v>followers_as_of</x:v>
      </x:c>
      <x:c r="H1" s="68" t="str">
        <x:v>selection_provenance</x:v>
      </x:c>
      <x:c r="I1" s="68" t="str">
        <x:v>fit_reason</x:v>
      </x:c>
      <x:c r="J1" s="68" t="str">
        <x:v>prior_outcome_exposure</x:v>
      </x:c>
      <x:c r="K1" s="68" t="str">
        <x:v>confidence</x:v>
      </x:c>
      <x:c r="L1" s="68" t="str">
        <x:v>stage0_status</x:v>
      </x:c>
      <x:c r="M1" s="68" t="str">
        <x:v>verification_required</x:v>
      </x:c>
      <x:c r="N1" s="68" t="str">
        <x:v>normalized_size_cell</x:v>
      </x:c>
      <x:c r="O1" s="68" t="str">
        <x:v>target_cell_key</x:v>
      </x:c>
    </x:row>
    <x:row r="2">
      <x:c r="A2" s="61" t="str">
        <x:v>PLN-E1</x:v>
      </x:c>
      <x:c r="B2" s="61" t="str">
        <x:v>planning_logistics</x:v>
      </x:c>
      <x:c r="C2" s="61" t="str">
        <x:v>emerging_1k_20k</x:v>
      </x:c>
      <x:c r="D2" s="61" t="str">
        <x:v>Knut Alicke</x:v>
      </x:c>
      <x:c r="E2" s="61" t="str">
        <x:v>https://www.linkedin.com/in/knut-alicke</x:v>
      </x:c>
      <x:c r="F2" s="63" t="str">
        <x:v>17700</x:v>
      </x:c>
      <x:c r="G2" s="61" t="str">
        <x:v>2026-07-27</x:v>
      </x:c>
      <x:c r="H2" s="61" t="str">
        <x:v>repository_benchmark</x:v>
      </x:c>
      <x:c r="I2" s="22" t="str">
        <x:v>Operations research, planning models, and executive implications</x:v>
      </x:c>
      <x:c r="J2" s="61" t="str">
        <x:v>repository_benchmark</x:v>
      </x:c>
      <x:c r="K2" s="61" t="str">
        <x:v>high</x:v>
      </x:c>
      <x:c r="L2" s="61" t="str">
        <x:v>provisional</x:v>
      </x:c>
      <x:c r="M2" s="22" t="str">
        <x:v>Confirm follower count, 20 eligible originals, and public media retrieval</x:v>
      </x:c>
      <x:c r="N2" s="61" t="str">
        <x:f>IF(F2="","unverified",IF(F2&lt;=5000,"near_peer_500_5k",IF(F2&lt;=20000,"growing_5k_20k","established_20k_plus")))</x:f>
        <x:v>growing_5k_20k</x:v>
      </x:c>
      <x:c r="O2" s="61" t="str">
        <x:f>B2&amp;"|"&amp;N2</x:f>
        <x:v>planning_logistics|growing_5k_20k</x:v>
      </x:c>
    </x:row>
    <x:row r="3">
      <x:c r="A3" s="61" t="str">
        <x:v>PLN-E2</x:v>
      </x:c>
      <x:c r="B3" s="61" t="str">
        <x:v>planning_logistics</x:v>
      </x:c>
      <x:c r="C3" s="61" t="str">
        <x:v>emerging_1k_20k</x:v>
      </x:c>
      <x:c r="D3" s="61" t="str">
        <x:v>Jonathon Karelse</x:v>
      </x:c>
      <x:c r="E3" s="61" t="str">
        <x:v>https://www.linkedin.com/in/jonathonkarelse</x:v>
      </x:c>
      <x:c r="F3" s="63" t="str">
        <x:v>6000</x:v>
      </x:c>
      <x:c r="G3" s="61" t="str">
        <x:v>2026-07-27</x:v>
      </x:c>
      <x:c r="H3" s="61" t="str">
        <x:v>public_profile_discovery</x:v>
      </x:c>
      <x:c r="I3" s="22" t="str">
        <x:v>Forecasting diagnostics, KPI criticism, and practitioner judgment</x:v>
      </x:c>
      <x:c r="J3" s="61" t="str">
        <x:v>none_recorded</x:v>
      </x:c>
      <x:c r="K3" s="61" t="str">
        <x:v>medium_high</x:v>
      </x:c>
      <x:c r="L3" s="61" t="str">
        <x:v>provisional</x:v>
      </x:c>
      <x:c r="M3" s="22" t="str">
        <x:v>Confirm follower count, 20 eligible originals, and public media retrieval</x:v>
      </x:c>
      <x:c r="N3" s="61" t="str">
        <x:f>IF(F3="","unverified",IF(F3&lt;=5000,"near_peer_500_5k",IF(F3&lt;=20000,"growing_5k_20k","established_20k_plus")))</x:f>
        <x:v>growing_5k_20k</x:v>
      </x:c>
      <x:c r="O3" s="61" t="str">
        <x:f>B3&amp;"|"&amp;N3</x:f>
        <x:v>planning_logistics|growing_5k_20k</x:v>
      </x:c>
    </x:row>
    <x:row r="4">
      <x:c r="A4" s="61" t="str">
        <x:v>PLN-E3</x:v>
      </x:c>
      <x:c r="B4" s="61" t="str">
        <x:v>planning_logistics</x:v>
      </x:c>
      <x:c r="C4" s="61" t="str">
        <x:v>emerging_1k_20k</x:v>
      </x:c>
      <x:c r="D4" s="61" t="str">
        <x:v>Sig Copple</x:v>
      </x:c>
      <x:c r="E4" s="61" t="str">
        <x:v>https://www.linkedin.com/in/sigcopple</x:v>
      </x:c>
      <x:c r="F4" s="63" t="str">
        <x:v>1000</x:v>
      </x:c>
      <x:c r="G4" s="61" t="str">
        <x:v>2026-07-27</x:v>
      </x:c>
      <x:c r="H4" s="61" t="str">
        <x:v>public_profile_discovery</x:v>
      </x:c>
      <x:c r="I4" s="22" t="str">
        <x:v>Planning, replenishment, and expediting decisions grounded in operating work</x:v>
      </x:c>
      <x:c r="J4" s="61" t="str">
        <x:v>none_recorded</x:v>
      </x:c>
      <x:c r="K4" s="61" t="str">
        <x:v>high</x:v>
      </x:c>
      <x:c r="L4" s="61" t="str">
        <x:v>provisional</x:v>
      </x:c>
      <x:c r="M4" s="22" t="str">
        <x:v>Confirm follower count, 20 eligible originals, and public media retrieval</x:v>
      </x:c>
      <x:c r="N4" s="61" t="str">
        <x:f>IF(F4="","unverified",IF(F4&lt;=5000,"near_peer_500_5k",IF(F4&lt;=20000,"growing_5k_20k","established_20k_plus")))</x:f>
        <x:v>near_peer_500_5k</x:v>
      </x:c>
      <x:c r="O4" s="61" t="str">
        <x:f>B4&amp;"|"&amp;N4</x:f>
        <x:v>planning_logistics|near_peer_500_5k</x:v>
      </x:c>
    </x:row>
    <x:row r="5">
      <x:c r="A5" s="61" t="str">
        <x:v>PLN-E4</x:v>
      </x:c>
      <x:c r="B5" s="61" t="str">
        <x:v>planning_logistics</x:v>
      </x:c>
      <x:c r="C5" s="61" t="str">
        <x:v>emerging_1k_20k</x:v>
      </x:c>
      <x:c r="D5" s="61" t="str">
        <x:v>Niels Van Hove</x:v>
      </x:c>
      <x:c r="E5" s="61" t="str">
        <x:v>https://www.linkedin.com/in/nielsvh</x:v>
      </x:c>
      <x:c r="F5" s="63" t="str">
        <x:v>4000</x:v>
      </x:c>
      <x:c r="G5" s="61" t="str">
        <x:v>2026-07-27</x:v>
      </x:c>
      <x:c r="H5" s="61" t="str">
        <x:v>public_profile_discovery</x:v>
      </x:c>
      <x:c r="I5" s="22" t="str">
        <x:v>Planner-centric forecasting, IBP, and decision-centric planning</x:v>
      </x:c>
      <x:c r="J5" s="61" t="str">
        <x:v>none_recorded</x:v>
      </x:c>
      <x:c r="K5" s="61" t="str">
        <x:v>medium_high</x:v>
      </x:c>
      <x:c r="L5" s="61" t="str">
        <x:v>provisional</x:v>
      </x:c>
      <x:c r="M5" s="22" t="str">
        <x:v>Confirm follower count, 20 eligible originals, and public media retrieval</x:v>
      </x:c>
      <x:c r="N5" s="61" t="str">
        <x:f>IF(F5="","unverified",IF(F5&lt;=5000,"near_peer_500_5k",IF(F5&lt;=20000,"growing_5k_20k","established_20k_plus")))</x:f>
        <x:v>near_peer_500_5k</x:v>
      </x:c>
      <x:c r="O5" s="61" t="str">
        <x:f>B5&amp;"|"&amp;N5</x:f>
        <x:v>planning_logistics|near_peer_500_5k</x:v>
      </x:c>
    </x:row>
    <x:row r="6">
      <x:c r="A6" s="61" t="str">
        <x:v>PLN-X1</x:v>
      </x:c>
      <x:c r="B6" s="61" t="str">
        <x:v>planning_logistics</x:v>
      </x:c>
      <x:c r="C6" s="61" t="str">
        <x:v>established_20k_plus</x:v>
      </x:c>
      <x:c r="D6" s="61" t="str">
        <x:v>Lora Cecere</x:v>
      </x:c>
      <x:c r="E6" s="61" t="str">
        <x:v>https://www.linkedin.com/in/loracecere</x:v>
      </x:c>
      <x:c r="F6" s="63" t="str">
        <x:v>349000</x:v>
      </x:c>
      <x:c r="G6" s="61" t="str">
        <x:v>2026-07-27</x:v>
      </x:c>
      <x:c r="H6" s="61" t="str">
        <x:v>repository_benchmark</x:v>
      </x:c>
      <x:c r="I6" s="22" t="str">
        <x:v>Original supply-chain research and direct challenges to conventional systems</x:v>
      </x:c>
      <x:c r="J6" s="61" t="str">
        <x:v>repository_benchmark</x:v>
      </x:c>
      <x:c r="K6" s="61" t="str">
        <x:v>high</x:v>
      </x:c>
      <x:c r="L6" s="61" t="str">
        <x:v>provisional</x:v>
      </x:c>
      <x:c r="M6" s="22" t="str">
        <x:v>Confirm follower count, 20 eligible originals, and public media retrieval</x:v>
      </x:c>
      <x:c r="N6" s="61" t="str">
        <x:f>IF(F6="","unverified",IF(F6&lt;=5000,"near_peer_500_5k",IF(F6&lt;=20000,"growing_5k_20k","established_20k_plus")))</x:f>
        <x:v>established_20k_plus</x:v>
      </x:c>
      <x:c r="O6" s="61" t="str">
        <x:f>B6&amp;"|"&amp;N6</x:f>
        <x:v>planning_logistics|established_20k_plus</x:v>
      </x:c>
    </x:row>
    <x:row r="7">
      <x:c r="A7" s="61" t="str">
        <x:v>PLN-X2</x:v>
      </x:c>
      <x:c r="B7" s="61" t="str">
        <x:v>planning_logistics</x:v>
      </x:c>
      <x:c r="C7" s="61" t="str">
        <x:v>established_20k_plus</x:v>
      </x:c>
      <x:c r="D7" s="61" t="str">
        <x:v>Daniel Stanton</x:v>
      </x:c>
      <x:c r="E7" s="61" t="str">
        <x:v>https://www.linkedin.com/in/danielstanton</x:v>
      </x:c>
      <x:c r="F7" s="63" t="str">
        <x:v>185000</x:v>
      </x:c>
      <x:c r="G7" s="61" t="str">
        <x:v>2026-07-27</x:v>
      </x:c>
      <x:c r="H7" s="61" t="str">
        <x:v>repository_benchmark</x:v>
      </x:c>
      <x:c r="I7" s="22" t="str">
        <x:v>Technical supply-chain education with operational consequences</x:v>
      </x:c>
      <x:c r="J7" s="61" t="str">
        <x:v>repository_benchmark</x:v>
      </x:c>
      <x:c r="K7" s="61" t="str">
        <x:v>high</x:v>
      </x:c>
      <x:c r="L7" s="61" t="str">
        <x:v>provisional</x:v>
      </x:c>
      <x:c r="M7" s="22" t="str">
        <x:v>Confirm follower count, 20 eligible originals, and public media retrieval</x:v>
      </x:c>
      <x:c r="N7" s="61" t="str">
        <x:f>IF(F7="","unverified",IF(F7&lt;=5000,"near_peer_500_5k",IF(F7&lt;=20000,"growing_5k_20k","established_20k_plus")))</x:f>
        <x:v>established_20k_plus</x:v>
      </x:c>
      <x:c r="O7" s="61" t="str">
        <x:f>B7&amp;"|"&amp;N7</x:f>
        <x:v>planning_logistics|established_20k_plus</x:v>
      </x:c>
    </x:row>
    <x:row r="8">
      <x:c r="A8" s="61" t="str">
        <x:v>PLN-X3</x:v>
      </x:c>
      <x:c r="B8" s="61" t="str">
        <x:v>planning_logistics</x:v>
      </x:c>
      <x:c r="C8" s="61" t="str">
        <x:v>established_20k_plus</x:v>
      </x:c>
      <x:c r="D8" s="61" t="str">
        <x:v>Sarah Barnes-Humphrey</x:v>
      </x:c>
      <x:c r="E8" s="61" t="str">
        <x:v>https://www.linkedin.com/in/sarahbarneshumphrey</x:v>
      </x:c>
      <x:c r="F8" s="63" t="str">
        <x:v>56000</x:v>
      </x:c>
      <x:c r="G8" s="61" t="str">
        <x:v>2026-07-27</x:v>
      </x:c>
      <x:c r="H8" s="61" t="str">
        <x:v>repository_benchmark</x:v>
      </x:c>
      <x:c r="I8" s="22" t="str">
        <x:v>Practitioner interviews, current signals, and operating stories</x:v>
      </x:c>
      <x:c r="J8" s="61" t="str">
        <x:v>repository_benchmark</x:v>
      </x:c>
      <x:c r="K8" s="61" t="str">
        <x:v>high</x:v>
      </x:c>
      <x:c r="L8" s="61" t="str">
        <x:v>provisional</x:v>
      </x:c>
      <x:c r="M8" s="22" t="str">
        <x:v>Confirm follower count, 20 eligible originals, and public media retrieval</x:v>
      </x:c>
      <x:c r="N8" s="61" t="str">
        <x:f>IF(F8="","unverified",IF(F8&lt;=5000,"near_peer_500_5k",IF(F8&lt;=20000,"growing_5k_20k","established_20k_plus")))</x:f>
        <x:v>established_20k_plus</x:v>
      </x:c>
      <x:c r="O8" s="61" t="str">
        <x:f>B8&amp;"|"&amp;N8</x:f>
        <x:v>planning_logistics|established_20k_plus</x:v>
      </x:c>
    </x:row>
    <x:row r="9">
      <x:c r="A9" s="61" t="str">
        <x:v>PLN-X4</x:v>
      </x:c>
      <x:c r="B9" s="61" t="str">
        <x:v>planning_logistics</x:v>
      </x:c>
      <x:c r="C9" s="61" t="str">
        <x:v>established_20k_plus</x:v>
      </x:c>
      <x:c r="D9" s="61" t="str">
        <x:v>Eric Wilson</x:v>
      </x:c>
      <x:c r="E9" s="61" t="str">
        <x:v>https://www.linkedin.com/in/wilsondemand</x:v>
      </x:c>
      <x:c r="F9" s="63" t="str">
        <x:v>23000</x:v>
      </x:c>
      <x:c r="G9" s="61" t="str">
        <x:v>2026-07-27</x:v>
      </x:c>
      <x:c r="H9" s="61" t="str">
        <x:v>public_profile_discovery</x:v>
      </x:c>
      <x:c r="I9" s="22" t="str">
        <x:v>Demand planning, forecasting, and S&amp;OP practitioner education</x:v>
      </x:c>
      <x:c r="J9" s="61" t="str">
        <x:v>none_recorded</x:v>
      </x:c>
      <x:c r="K9" s="61" t="str">
        <x:v>medium_high</x:v>
      </x:c>
      <x:c r="L9" s="61" t="str">
        <x:v>provisional</x:v>
      </x:c>
      <x:c r="M9" s="22" t="str">
        <x:v>Confirm follower count, 20 eligible originals, and public media retrieval</x:v>
      </x:c>
      <x:c r="N9" s="61" t="str">
        <x:f>IF(F9="","unverified",IF(F9&lt;=5000,"near_peer_500_5k",IF(F9&lt;=20000,"growing_5k_20k","established_20k_plus")))</x:f>
        <x:v>established_20k_plus</x:v>
      </x:c>
      <x:c r="O9" s="61" t="str">
        <x:f>B9&amp;"|"&amp;N9</x:f>
        <x:v>planning_logistics|established_20k_plus</x:v>
      </x:c>
    </x:row>
    <x:row r="10">
      <x:c r="A10" s="61" t="str">
        <x:v>PRC-E1</x:v>
      </x:c>
      <x:c r="B10" s="61" t="str">
        <x:v>purchasing_procurement</x:v>
      </x:c>
      <x:c r="C10" s="61" t="str">
        <x:v>emerging_1k_20k</x:v>
      </x:c>
      <x:c r="D10" s="61" t="str">
        <x:v>Philip Ideson</x:v>
      </x:c>
      <x:c r="E10" s="61" t="str">
        <x:v>https://www.linkedin.com/in/philipideson</x:v>
      </x:c>
      <x:c r="F10" s="63" t="str">
        <x:v>16000</x:v>
      </x:c>
      <x:c r="G10" s="61" t="str">
        <x:v>2026-07-27</x:v>
      </x:c>
      <x:c r="H10" s="61" t="str">
        <x:v>public_profile_discovery</x:v>
      </x:c>
      <x:c r="I10" s="22" t="str">
        <x:v>Procurement transformation, operating models, and practitioner decisions</x:v>
      </x:c>
      <x:c r="J10" s="61" t="str">
        <x:v>none_recorded</x:v>
      </x:c>
      <x:c r="K10" s="61" t="str">
        <x:v>medium_high</x:v>
      </x:c>
      <x:c r="L10" s="61" t="str">
        <x:v>provisional</x:v>
      </x:c>
      <x:c r="M10" s="22" t="str">
        <x:v>Confirm follower count, 20 eligible originals, and public media retrieval</x:v>
      </x:c>
      <x:c r="N10" s="61" t="str">
        <x:f>IF(F10="","unverified",IF(F10&lt;=5000,"near_peer_500_5k",IF(F10&lt;=20000,"growing_5k_20k","established_20k_plus")))</x:f>
        <x:v>growing_5k_20k</x:v>
      </x:c>
      <x:c r="O10" s="61" t="str">
        <x:f>B10&amp;"|"&amp;N10</x:f>
        <x:v>purchasing_procurement|growing_5k_20k</x:v>
      </x:c>
    </x:row>
    <x:row r="11">
      <x:c r="A11" s="61" t="str">
        <x:v>PRC-E2</x:v>
      </x:c>
      <x:c r="B11" s="61" t="str">
        <x:v>purchasing_procurement</x:v>
      </x:c>
      <x:c r="C11" s="61" t="str">
        <x:v>emerging_1k_20k</x:v>
      </x:c>
      <x:c r="D11" s="61" t="str">
        <x:v>Sammeli Sammalkorpi</x:v>
      </x:c>
      <x:c r="E11" s="61" t="str">
        <x:v>https://www.linkedin.com/in/sammeli-sammalkorpi</x:v>
      </x:c>
      <x:c r="F11" s="63" t="str">
        <x:v>7000</x:v>
      </x:c>
      <x:c r="G11" s="61" t="str">
        <x:v>2026-07-27</x:v>
      </x:c>
      <x:c r="H11" s="61" t="str">
        <x:v>public_profile_discovery</x:v>
      </x:c>
      <x:c r="I11" s="22" t="str">
        <x:v>Procurement analytics, benchmarking, and operational explanation</x:v>
      </x:c>
      <x:c r="J11" s="61" t="str">
        <x:v>none_recorded</x:v>
      </x:c>
      <x:c r="K11" s="61" t="str">
        <x:v>medium_high</x:v>
      </x:c>
      <x:c r="L11" s="61" t="str">
        <x:v>provisional</x:v>
      </x:c>
      <x:c r="M11" s="22" t="str">
        <x:v>Confirm follower count, 20 eligible originals, and public media retrieval</x:v>
      </x:c>
      <x:c r="N11" s="61" t="str">
        <x:f>IF(F11="","unverified",IF(F11&lt;=5000,"near_peer_500_5k",IF(F11&lt;=20000,"growing_5k_20k","established_20k_plus")))</x:f>
        <x:v>growing_5k_20k</x:v>
      </x:c>
      <x:c r="O11" s="61" t="str">
        <x:f>B11&amp;"|"&amp;N11</x:f>
        <x:v>purchasing_procurement|growing_5k_20k</x:v>
      </x:c>
    </x:row>
    <x:row r="12">
      <x:c r="A12" s="61" t="str">
        <x:v>PRC-E3</x:v>
      </x:c>
      <x:c r="B12" s="61" t="str">
        <x:v>purchasing_procurement</x:v>
      </x:c>
      <x:c r="C12" s="61" t="str">
        <x:v>emerging_1k_20k</x:v>
      </x:c>
      <x:c r="D12" s="61" t="str">
        <x:v>Sigi Osagie</x:v>
      </x:c>
      <x:c r="E12" s="61" t="str">
        <x:v>https://www.linkedin.com/in/sigiosagie</x:v>
      </x:c>
      <x:c r="F12" s="63" t="str">
        <x:v>2000</x:v>
      </x:c>
      <x:c r="G12" s="61" t="str">
        <x:v>2026-07-27</x:v>
      </x:c>
      <x:c r="H12" s="61" t="str">
        <x:v>public_profile_discovery</x:v>
      </x:c>
      <x:c r="I12" s="22" t="str">
        <x:v>Procurement operating practice, leadership, and transformation</x:v>
      </x:c>
      <x:c r="J12" s="61" t="str">
        <x:v>none_recorded</x:v>
      </x:c>
      <x:c r="K12" s="61" t="str">
        <x:v>medium_low</x:v>
      </x:c>
      <x:c r="L12" s="61" t="str">
        <x:v>provisional</x:v>
      </x:c>
      <x:c r="M12" s="22" t="str">
        <x:v>Confirm identity, follower count, 20 eligible originals, domain share, and media retrieval</x:v>
      </x:c>
      <x:c r="N12" s="61" t="str">
        <x:f>IF(F12="","unverified",IF(F12&lt;=5000,"near_peer_500_5k",IF(F12&lt;=20000,"growing_5k_20k","established_20k_plus")))</x:f>
        <x:v>near_peer_500_5k</x:v>
      </x:c>
      <x:c r="O12" s="61" t="str">
        <x:f>B12&amp;"|"&amp;N12</x:f>
        <x:v>purchasing_procurement|near_peer_500_5k</x:v>
      </x:c>
    </x:row>
    <x:row r="13">
      <x:c r="A13" s="61" t="str">
        <x:v>PRC-E4</x:v>
      </x:c>
      <x:c r="B13" s="61" t="str">
        <x:v>purchasing_procurement</x:v>
      </x:c>
      <x:c r="C13" s="61" t="str">
        <x:v>emerging_1k_20k</x:v>
      </x:c>
      <x:c r="D13" s="61" t="str">
        <x:v>Dave Barr</x:v>
      </x:c>
      <x:c r="E13" s="61" t="str">
        <x:v>https://www.linkedin.com/in/davidianscottbarr</x:v>
      </x:c>
      <x:c r="F13" s="63" t="str">
        <x:v>3400</x:v>
      </x:c>
      <x:c r="G13" s="61" t="str">
        <x:v>2026-07-27</x:v>
      </x:c>
      <x:c r="H13" s="61" t="str">
        <x:v>public_profile_discovery</x:v>
      </x:c>
      <x:c r="I13" s="22" t="str">
        <x:v>Small-account procurement practitioner perspective</x:v>
      </x:c>
      <x:c r="J13" s="61" t="str">
        <x:v>none_recorded</x:v>
      </x:c>
      <x:c r="K13" s="61" t="str">
        <x:v>medium_low</x:v>
      </x:c>
      <x:c r="L13" s="61" t="str">
        <x:v>provisional</x:v>
      </x:c>
      <x:c r="M13" s="22" t="str">
        <x:v>Confirm identity, follower count, cadence, original-post share, and media retrieval</x:v>
      </x:c>
      <x:c r="N13" s="61" t="str">
        <x:f>IF(F13="","unverified",IF(F13&lt;=5000,"near_peer_500_5k",IF(F13&lt;=20000,"growing_5k_20k","established_20k_plus")))</x:f>
        <x:v>near_peer_500_5k</x:v>
      </x:c>
      <x:c r="O13" s="61" t="str">
        <x:f>B13&amp;"|"&amp;N13</x:f>
        <x:v>purchasing_procurement|near_peer_500_5k</x:v>
      </x:c>
    </x:row>
    <x:row r="14">
      <x:c r="A14" s="61" t="str">
        <x:v>PRC-X1</x:v>
      </x:c>
      <x:c r="B14" s="61" t="str">
        <x:v>purchasing_procurement</x:v>
      </x:c>
      <x:c r="C14" s="61" t="str">
        <x:v>established_20k_plus</x:v>
      </x:c>
      <x:c r="D14" s="61" t="str">
        <x:v>Tom Mills</x:v>
      </x:c>
      <x:c r="E14" s="61" t="str">
        <x:v>https://www.linkedin.com/in/tom-mills-procurement</x:v>
      </x:c>
      <x:c r="F14" s="63" t="str">
        <x:v>138000</x:v>
      </x:c>
      <x:c r="G14" s="61" t="str">
        <x:v>2026-07-27</x:v>
      </x:c>
      <x:c r="H14" s="61" t="str">
        <x:v>public_profile_discovery</x:v>
      </x:c>
      <x:c r="I14" s="22" t="str">
        <x:v>Procurement frameworks, reference assets, and practitioner skills</x:v>
      </x:c>
      <x:c r="J14" s="61" t="str">
        <x:v>none_recorded</x:v>
      </x:c>
      <x:c r="K14" s="61" t="str">
        <x:v>medium_high</x:v>
      </x:c>
      <x:c r="L14" s="61" t="str">
        <x:v>provisional</x:v>
      </x:c>
      <x:c r="M14" s="22" t="str">
        <x:v>Confirm follower count, 20 eligible originals, and public media retrieval</x:v>
      </x:c>
      <x:c r="N14" s="61" t="str">
        <x:f>IF(F14="","unverified",IF(F14&lt;=5000,"near_peer_500_5k",IF(F14&lt;=20000,"growing_5k_20k","established_20k_plus")))</x:f>
        <x:v>established_20k_plus</x:v>
      </x:c>
      <x:c r="O14" s="61" t="str">
        <x:f>B14&amp;"|"&amp;N14</x:f>
        <x:v>purchasing_procurement|established_20k_plus</x:v>
      </x:c>
    </x:row>
    <x:row r="15">
      <x:c r="A15" s="61" t="str">
        <x:v>PRC-X2</x:v>
      </x:c>
      <x:c r="B15" s="61" t="str">
        <x:v>purchasing_procurement</x:v>
      </x:c>
      <x:c r="C15" s="61" t="str">
        <x:v>established_20k_plus</x:v>
      </x:c>
      <x:c r="D15" s="61" t="str">
        <x:v>Susan Walsh</x:v>
      </x:c>
      <x:c r="E15" s="61" t="str">
        <x:v>https://www.linkedin.com/in/susanewalsh</x:v>
      </x:c>
      <x:c r="F15" s="63" t="str">
        <x:v>44000</x:v>
      </x:c>
      <x:c r="G15" s="61" t="str">
        <x:v>2026-07-27</x:v>
      </x:c>
      <x:c r="H15" s="61" t="str">
        <x:v>public_profile_discovery</x:v>
      </x:c>
      <x:c r="I15" s="22" t="str">
        <x:v>Spend and data classification taught through practical examples</x:v>
      </x:c>
      <x:c r="J15" s="61" t="str">
        <x:v>none_recorded</x:v>
      </x:c>
      <x:c r="K15" s="61" t="str">
        <x:v>medium</x:v>
      </x:c>
      <x:c r="L15" s="61" t="str">
        <x:v>provisional</x:v>
      </x:c>
      <x:c r="M15" s="22" t="str">
        <x:v>Confirm follower count, procurement share, 20 eligible originals, and media retrieval</x:v>
      </x:c>
      <x:c r="N15" s="61" t="str">
        <x:f>IF(F15="","unverified",IF(F15&lt;=5000,"near_peer_500_5k",IF(F15&lt;=20000,"growing_5k_20k","established_20k_plus")))</x:f>
        <x:v>established_20k_plus</x:v>
      </x:c>
      <x:c r="O15" s="61" t="str">
        <x:f>B15&amp;"|"&amp;N15</x:f>
        <x:v>purchasing_procurement|established_20k_plus</x:v>
      </x:c>
    </x:row>
    <x:row r="16">
      <x:c r="A16" s="61" t="str">
        <x:v>PRC-X3</x:v>
      </x:c>
      <x:c r="B16" s="61" t="str">
        <x:v>purchasing_procurement</x:v>
      </x:c>
      <x:c r="C16" s="61" t="str">
        <x:v>established_20k_plus</x:v>
      </x:c>
      <x:c r="D16" s="61" t="str">
        <x:v>Kelly Barner</x:v>
      </x:c>
      <x:c r="E16" s="61" t="str">
        <x:v>https://www.linkedin.com/in/kelly-barner-6884443</x:v>
      </x:c>
      <x:c r="F16" s="63" t="str">
        <x:v>35000</x:v>
      </x:c>
      <x:c r="G16" s="61" t="str">
        <x:v>2026-07-27</x:v>
      </x:c>
      <x:c r="H16" s="61" t="str">
        <x:v>public_profile_discovery</x:v>
      </x:c>
      <x:c r="I16" s="22" t="str">
        <x:v>Research-led procurement interpretation and operational writing</x:v>
      </x:c>
      <x:c r="J16" s="61" t="str">
        <x:v>none_recorded</x:v>
      </x:c>
      <x:c r="K16" s="61" t="str">
        <x:v>medium_high</x:v>
      </x:c>
      <x:c r="L16" s="61" t="str">
        <x:v>provisional</x:v>
      </x:c>
      <x:c r="M16" s="22" t="str">
        <x:v>Confirm follower count, 20 eligible originals, and public media retrieval</x:v>
      </x:c>
      <x:c r="N16" s="61" t="str">
        <x:f>IF(F16="","unverified",IF(F16&lt;=5000,"near_peer_500_5k",IF(F16&lt;=20000,"growing_5k_20k","established_20k_plus")))</x:f>
        <x:v>established_20k_plus</x:v>
      </x:c>
      <x:c r="O16" s="61" t="str">
        <x:f>B16&amp;"|"&amp;N16</x:f>
        <x:v>purchasing_procurement|established_20k_plus</x:v>
      </x:c>
    </x:row>
    <x:row r="17">
      <x:c r="A17" s="61" t="str">
        <x:v>PRC-X4</x:v>
      </x:c>
      <x:c r="B17" s="61" t="str">
        <x:v>purchasing_procurement</x:v>
      </x:c>
      <x:c r="C17" s="61" t="str">
        <x:v>established_20k_plus</x:v>
      </x:c>
      <x:c r="D17" s="61" t="str">
        <x:v>Asmaa Gad</x:v>
      </x:c>
      <x:c r="E17" s="61" t="str">
        <x:v>https://www.linkedin.com/in/supplychainaipro</x:v>
      </x:c>
      <x:c r="F17" s="63" t="str">
        <x:v>24000</x:v>
      </x:c>
      <x:c r="G17" s="61" t="str">
        <x:v>2026-07-27</x:v>
      </x:c>
      <x:c r="H17" s="61" t="str">
        <x:v>repository_benchmark</x:v>
      </x:c>
      <x:c r="I17" s="22" t="str">
        <x:v>Role-specific AI and procurement workflows and reference cards</x:v>
      </x:c>
      <x:c r="J17" s="61" t="str">
        <x:v>repository_top100_exposure</x:v>
      </x:c>
      <x:c r="K17" s="61" t="str">
        <x:v>high</x:v>
      </x:c>
      <x:c r="L17" s="61" t="str">
        <x:v>provisional</x:v>
      </x:c>
      <x:c r="M17" s="22" t="str">
        <x:v>Confirm follower count, 20 eligible originals, and public media retrieval</x:v>
      </x:c>
      <x:c r="N17" s="61" t="str">
        <x:f>IF(F17="","unverified",IF(F17&lt;=5000,"near_peer_500_5k",IF(F17&lt;=20000,"growing_5k_20k","established_20k_plus")))</x:f>
        <x:v>established_20k_plus</x:v>
      </x:c>
      <x:c r="O17" s="61" t="str">
        <x:f>B17&amp;"|"&amp;N17</x:f>
        <x:v>purchasing_procurement|established_20k_plus</x:v>
      </x:c>
    </x:row>
    <x:row r="18">
      <x:c r="A18" s="61" t="str">
        <x:v>IMP-E1</x:v>
      </x:c>
      <x:c r="B18" s="61" t="str">
        <x:v>implementation_adjacent</x:v>
      </x:c>
      <x:c r="C18" s="61" t="str">
        <x:v>emerging_1k_20k</x:v>
      </x:c>
      <x:c r="D18" s="61" t="str">
        <x:v>Sue Bayes</x:v>
      </x:c>
      <x:c r="E18" s="61" t="str">
        <x:v>https://www.linkedin.com/in/suebayes</x:v>
      </x:c>
      <x:c r="F18" s="63" t="str">
        <x:v>7000</x:v>
      </x:c>
      <x:c r="G18" s="61" t="str">
        <x:v>2026-07-27</x:v>
      </x:c>
      <x:c r="H18" s="61" t="str">
        <x:v>public_profile_discovery</x:v>
      </x:c>
      <x:c r="I18" s="22" t="str">
        <x:v>Power BI and Excel implementation education</x:v>
      </x:c>
      <x:c r="J18" s="61" t="str">
        <x:v>none_recorded</x:v>
      </x:c>
      <x:c r="K18" s="61" t="str">
        <x:v>medium_high</x:v>
      </x:c>
      <x:c r="L18" s="61" t="str">
        <x:v>provisional</x:v>
      </x:c>
      <x:c r="M18" s="22" t="str">
        <x:v>Confirm follower count, 20 eligible originals, and public media retrieval</x:v>
      </x:c>
      <x:c r="N18" s="61" t="str">
        <x:f>IF(F18="","unverified",IF(F18&lt;=5000,"near_peer_500_5k",IF(F18&lt;=20000,"growing_5k_20k","established_20k_plus")))</x:f>
        <x:v>growing_5k_20k</x:v>
      </x:c>
      <x:c r="O18" s="61" t="str">
        <x:f>B18&amp;"|"&amp;N18</x:f>
        <x:v>implementation_adjacent|growing_5k_20k</x:v>
      </x:c>
    </x:row>
    <x:row r="19">
      <x:c r="A19" s="61" t="str">
        <x:v>IMP-E2</x:v>
      </x:c>
      <x:c r="B19" s="61" t="str">
        <x:v>implementation_adjacent</x:v>
      </x:c>
      <x:c r="C19" s="61" t="str">
        <x:v>emerging_1k_20k</x:v>
      </x:c>
      <x:c r="D19" s="61" t="str">
        <x:v>Sean Conerly</x:v>
      </x:c>
      <x:c r="E19" s="61" t="str">
        <x:v>https://www.linkedin.com/in/sean-conerly-49063054</x:v>
      </x:c>
      <x:c r="F19" s="63" t="str">
        <x:v>2000</x:v>
      </x:c>
      <x:c r="G19" s="61" t="str">
        <x:v>2026-07-27</x:v>
      </x:c>
      <x:c r="H19" s="61" t="str">
        <x:v>public_profile_discovery</x:v>
      </x:c>
      <x:c r="I19" s="22" t="str">
        <x:v>AI systems explained through practical business architectures</x:v>
      </x:c>
      <x:c r="J19" s="61" t="str">
        <x:v>none_recorded</x:v>
      </x:c>
      <x:c r="K19" s="61" t="str">
        <x:v>medium</x:v>
      </x:c>
      <x:c r="L19" s="61" t="str">
        <x:v>provisional</x:v>
      </x:c>
      <x:c r="M19" s="22" t="str">
        <x:v>Confirm identity, follower count, 20 eligible originals, domain share, and media retrieval</x:v>
      </x:c>
      <x:c r="N19" s="61" t="str">
        <x:f>IF(F19="","unverified",IF(F19&lt;=5000,"near_peer_500_5k",IF(F19&lt;=20000,"growing_5k_20k","established_20k_plus")))</x:f>
        <x:v>near_peer_500_5k</x:v>
      </x:c>
      <x:c r="O19" s="61" t="str">
        <x:f>B19&amp;"|"&amp;N19</x:f>
        <x:v>implementation_adjacent|near_peer_500_5k</x:v>
      </x:c>
    </x:row>
    <x:row r="20">
      <x:c r="A20" s="61" t="str">
        <x:v>IMP-E3</x:v>
      </x:c>
      <x:c r="B20" s="61" t="str">
        <x:v>implementation_adjacent</x:v>
      </x:c>
      <x:c r="C20" s="61" t="str">
        <x:v>emerging_1k_20k</x:v>
      </x:c>
      <x:c r="D20" s="61" t="str">
        <x:v>Christoph Roser</x:v>
      </x:c>
      <x:c r="E20" s="61" t="str">
        <x:v>https://www.linkedin.com/in/christoph-roser-allaboutlean</x:v>
      </x:c>
      <x:c r="F20" s="63" t="str">
        <x:v>15400</x:v>
      </x:c>
      <x:c r="G20" s="61" t="str">
        <x:v>2026-07-27</x:v>
      </x:c>
      <x:c r="H20" s="61" t="str">
        <x:v>public_profile_discovery</x:v>
      </x:c>
      <x:c r="I20" s="22" t="str">
        <x:v>Lean, value-stream, and process-improvement education</x:v>
      </x:c>
      <x:c r="J20" s="61" t="str">
        <x:v>none_recorded</x:v>
      </x:c>
      <x:c r="K20" s="61" t="str">
        <x:v>medium_high</x:v>
      </x:c>
      <x:c r="L20" s="61" t="str">
        <x:v>provisional</x:v>
      </x:c>
      <x:c r="M20" s="22" t="str">
        <x:v>Confirm follower count, 20 eligible originals, and public media retrieval</x:v>
      </x:c>
      <x:c r="N20" s="61" t="str">
        <x:f>IF(F20="","unverified",IF(F20&lt;=5000,"near_peer_500_5k",IF(F20&lt;=20000,"growing_5k_20k","established_20k_plus")))</x:f>
        <x:v>growing_5k_20k</x:v>
      </x:c>
      <x:c r="O20" s="61" t="str">
        <x:f>B20&amp;"|"&amp;N20</x:f>
        <x:v>implementation_adjacent|growing_5k_20k</x:v>
      </x:c>
    </x:row>
    <x:row r="21">
      <x:c r="A21" s="61" t="str">
        <x:v>IMP-E4</x:v>
      </x:c>
      <x:c r="B21" s="61" t="str">
        <x:v>implementation_adjacent</x:v>
      </x:c>
      <x:c r="C21" s="61" t="str">
        <x:v>emerging_1k_20k</x:v>
      </x:c>
      <x:c r="D21" s="61" t="str">
        <x:v>Elisabeth Swan</x:v>
      </x:c>
      <x:c r="E21" s="61" t="str">
        <x:v>https://www.linkedin.com/in/elisabethswan</x:v>
      </x:c>
      <x:c r="F21" s="63" t="str">
        <x:v>5000</x:v>
      </x:c>
      <x:c r="G21" s="61" t="str">
        <x:v>2026-07-27</x:v>
      </x:c>
      <x:c r="H21" s="61" t="str">
        <x:v>public_profile_discovery</x:v>
      </x:c>
      <x:c r="I21" s="22" t="str">
        <x:v>Lean Six Sigma methods, toolkits, and practical process improvement</x:v>
      </x:c>
      <x:c r="J21" s="61" t="str">
        <x:v>none_recorded</x:v>
      </x:c>
      <x:c r="K21" s="61" t="str">
        <x:v>medium_high</x:v>
      </x:c>
      <x:c r="L21" s="61" t="str">
        <x:v>provisional</x:v>
      </x:c>
      <x:c r="M21" s="22" t="str">
        <x:v>Confirm follower count, 20 eligible originals, and public media retrieval</x:v>
      </x:c>
      <x:c r="N21" s="61" t="str">
        <x:f>IF(F21="","unverified",IF(F21&lt;=5000,"near_peer_500_5k",IF(F21&lt;=20000,"growing_5k_20k","established_20k_plus")))</x:f>
        <x:v>near_peer_500_5k</x:v>
      </x:c>
      <x:c r="O21" s="61" t="str">
        <x:f>B21&amp;"|"&amp;N21</x:f>
        <x:v>implementation_adjacent|near_peer_500_5k</x:v>
      </x:c>
    </x:row>
    <x:row r="22">
      <x:c r="A22" s="61" t="str">
        <x:v>IMP-X1</x:v>
      </x:c>
      <x:c r="B22" s="61" t="str">
        <x:v>implementation_adjacent</x:v>
      </x:c>
      <x:c r="C22" s="61" t="str">
        <x:v>established_20k_plus</x:v>
      </x:c>
      <x:c r="D22" s="61" t="str">
        <x:v>Leila Gharani</x:v>
      </x:c>
      <x:c r="E22" s="61" t="str">
        <x:v>https://www.linkedin.com/in/leilagharani</x:v>
      </x:c>
      <x:c r="F22" s="63" t="str">
        <x:v>170600</x:v>
      </x:c>
      <x:c r="G22" s="61" t="str">
        <x:v>2026-07-27</x:v>
      </x:c>
      <x:c r="H22" s="61" t="str">
        <x:v>public_profile_discovery</x:v>
      </x:c>
      <x:c r="I22" s="22" t="str">
        <x:v>Excel, Python, and AI workflows demonstrated through work outputs</x:v>
      </x:c>
      <x:c r="J22" s="61" t="str">
        <x:v>none_recorded</x:v>
      </x:c>
      <x:c r="K22" s="61" t="str">
        <x:v>high</x:v>
      </x:c>
      <x:c r="L22" s="61" t="str">
        <x:v>provisional</x:v>
      </x:c>
      <x:c r="M22" s="22" t="str">
        <x:v>Confirm follower count, 20 eligible originals, and public media retrieval</x:v>
      </x:c>
      <x:c r="N22" s="61" t="str">
        <x:f>IF(F22="","unverified",IF(F22&lt;=5000,"near_peer_500_5k",IF(F22&lt;=20000,"growing_5k_20k","established_20k_plus")))</x:f>
        <x:v>established_20k_plus</x:v>
      </x:c>
      <x:c r="O22" s="61" t="str">
        <x:f>B22&amp;"|"&amp;N22</x:f>
        <x:v>implementation_adjacent|established_20k_plus</x:v>
      </x:c>
    </x:row>
    <x:row r="23">
      <x:c r="A23" s="61" t="str">
        <x:v>IMP-X2</x:v>
      </x:c>
      <x:c r="B23" s="61" t="str">
        <x:v>implementation_adjacent</x:v>
      </x:c>
      <x:c r="C23" s="61" t="str">
        <x:v>established_20k_plus</x:v>
      </x:c>
      <x:c r="D23" s="61" t="str">
        <x:v>Rachel Woods</x:v>
      </x:c>
      <x:c r="E23" s="61" t="str">
        <x:v>https://www.linkedin.com/in/woodsrach</x:v>
      </x:c>
      <x:c r="F23" s="63" t="str">
        <x:v>44000</x:v>
      </x:c>
      <x:c r="G23" s="61" t="str">
        <x:v>2026-07-27</x:v>
      </x:c>
      <x:c r="H23" s="61" t="str">
        <x:v>public_profile_discovery</x:v>
      </x:c>
      <x:c r="I23" s="22" t="str">
        <x:v>AI workflows, operating systems, and adoption education</x:v>
      </x:c>
      <x:c r="J23" s="61" t="str">
        <x:v>none_recorded</x:v>
      </x:c>
      <x:c r="K23" s="61" t="str">
        <x:v>high</x:v>
      </x:c>
      <x:c r="L23" s="61" t="str">
        <x:v>provisional</x:v>
      </x:c>
      <x:c r="M23" s="22" t="str">
        <x:v>Confirm follower count, 20 eligible originals, and public media retrieval</x:v>
      </x:c>
      <x:c r="N23" s="61" t="str">
        <x:f>IF(F23="","unverified",IF(F23&lt;=5000,"near_peer_500_5k",IF(F23&lt;=20000,"growing_5k_20k","established_20k_plus")))</x:f>
        <x:v>established_20k_plus</x:v>
      </x:c>
      <x:c r="O23" s="61" t="str">
        <x:f>B23&amp;"|"&amp;N23</x:f>
        <x:v>implementation_adjacent|established_20k_plus</x:v>
      </x:c>
    </x:row>
    <x:row r="24">
      <x:c r="A24" s="61" t="str">
        <x:v>IMP-X3</x:v>
      </x:c>
      <x:c r="B24" s="61" t="str">
        <x:v>implementation_adjacent</x:v>
      </x:c>
      <x:c r="C24" s="61" t="str">
        <x:v>established_20k_plus</x:v>
      </x:c>
      <x:c r="D24" s="61" t="str">
        <x:v>Lisa Crosbie</x:v>
      </x:c>
      <x:c r="E24" s="61" t="str">
        <x:v>https://www.linkedin.com/in/lisa-crosbie</x:v>
      </x:c>
      <x:c r="F24" s="63" t="str">
        <x:v>41000</x:v>
      </x:c>
      <x:c r="G24" s="61" t="str">
        <x:v>2026-07-27</x:v>
      </x:c>
      <x:c r="H24" s="61" t="str">
        <x:v>public_profile_discovery</x:v>
      </x:c>
      <x:c r="I24" s="22" t="str">
        <x:v>Copilot and Power Platform implementation explained for practitioners</x:v>
      </x:c>
      <x:c r="J24" s="61" t="str">
        <x:v>none_recorded</x:v>
      </x:c>
      <x:c r="K24" s="61" t="str">
        <x:v>high</x:v>
      </x:c>
      <x:c r="L24" s="61" t="str">
        <x:v>provisional</x:v>
      </x:c>
      <x:c r="M24" s="22" t="str">
        <x:v>Confirm follower count, 20 eligible originals, and public media retrieval</x:v>
      </x:c>
      <x:c r="N24" s="61" t="str">
        <x:f>IF(F24="","unverified",IF(F24&lt;=5000,"near_peer_500_5k",IF(F24&lt;=20000,"growing_5k_20k","established_20k_plus")))</x:f>
        <x:v>established_20k_plus</x:v>
      </x:c>
      <x:c r="O24" s="61" t="str">
        <x:f>B24&amp;"|"&amp;N24</x:f>
        <x:v>implementation_adjacent|established_20k_plus</x:v>
      </x:c>
    </x:row>
    <x:row r="25">
      <x:c r="A25" s="61" t="str">
        <x:v>IMP-X4</x:v>
      </x:c>
      <x:c r="B25" s="61" t="str">
        <x:v>implementation_adjacent</x:v>
      </x:c>
      <x:c r="C25" s="61" t="str">
        <x:v>established_20k_plus</x:v>
      </x:c>
      <x:c r="D25" s="61" t="str">
        <x:v>Katie Anderson</x:v>
      </x:c>
      <x:c r="E25" s="61" t="str">
        <x:v>https://www.linkedin.com/in/kbjanderson</x:v>
      </x:c>
      <x:c r="F25" s="63" t="str">
        <x:v>26000</x:v>
      </x:c>
      <x:c r="G25" s="61" t="str">
        <x:v>2026-07-27</x:v>
      </x:c>
      <x:c r="H25" s="61" t="str">
        <x:v>public_profile_discovery</x:v>
      </x:c>
      <x:c r="I25" s="22" t="str">
        <x:v>Lean leadership and improvement systems tied to operating behavior</x:v>
      </x:c>
      <x:c r="J25" s="61" t="str">
        <x:v>none_recorded</x:v>
      </x:c>
      <x:c r="K25" s="61" t="str">
        <x:v>medium_high</x:v>
      </x:c>
      <x:c r="L25" s="61" t="str">
        <x:v>provisional</x:v>
      </x:c>
      <x:c r="M25" s="22" t="str">
        <x:v>Confirm follower count, 20 eligible originals, and public media retrieval</x:v>
      </x:c>
      <x:c r="N25" s="61" t="str">
        <x:f>IF(F25="","unverified",IF(F25&lt;=5000,"near_peer_500_5k",IF(F25&lt;=20000,"growing_5k_20k","established_20k_plus")))</x:f>
        <x:v>established_20k_plus</x:v>
      </x:c>
      <x:c r="O25" s="61" t="str">
        <x:f>B25&amp;"|"&amp;N25</x:f>
        <x:v>implementation_adjacent|established_20k_plus</x:v>
      </x:c>
    </x:row>
    <x:row r="26">
      <x:c r="A26" s="61" t="str">
        <x:v>PLN-N1</x:v>
      </x:c>
      <x:c r="B26" s="61" t="str">
        <x:v>planning_logistics</x:v>
      </x:c>
      <x:c r="C26" s="61" t="str">
        <x:v>near_500_5k</x:v>
      </x:c>
      <x:c r="D26" s="61" t="str">
        <x:v>Mary Kate Kloeblen</x:v>
      </x:c>
      <x:c r="E26" s="61" t="str">
        <x:v>https://www.linkedin.com/in/mary-kate-kloeblen-16052225</x:v>
      </x:c>
      <x:c r="F26" s="63" t="str">
        <x:v>4009</x:v>
      </x:c>
      <x:c r="G26" s="61" t="str">
        <x:v>2026-07-27</x:v>
      </x:c>
      <x:c r="H26" s="61" t="str">
        <x:v>public_profile_discovery_v4_stage0</x:v>
      </x:c>
      <x:c r="I26" s="22" t="str">
        <x:v>First-person CPG operations cases spanning inventory contingency, fulfillment design, packaging cost, and 3PL selection</x:v>
      </x:c>
      <x:c r="J26" s="61" t="str">
        <x:v>none_recorded</x:v>
      </x:c>
      <x:c r="K26" s="61" t="str">
        <x:v>high</x:v>
      </x:c>
      <x:c r="L26" s="61" t="str">
        <x:v>provisional</x:v>
      </x:c>
      <x:c r="M26" s="22" t="str">
        <x:v>Confirm at least 20 English original in-window posts and public media retrieval</x:v>
      </x:c>
      <x:c r="N26" s="61" t="str">
        <x:f>IF(F26="","unverified",IF(F26&lt;=5000,"near_peer_500_5k",IF(F26&lt;=20000,"growing_5k_20k","established_20k_plus")))</x:f>
        <x:v>near_peer_500_5k</x:v>
      </x:c>
      <x:c r="O26" s="61" t="str">
        <x:f>B26&amp;"|"&amp;N26</x:f>
        <x:v>planning_logistics|near_peer_500_5k</x:v>
      </x:c>
    </x:row>
    <x:row r="27">
      <x:c r="A27" s="61" t="str">
        <x:v>PLN-N2</x:v>
      </x:c>
      <x:c r="B27" s="61" t="str">
        <x:v>planning_logistics</x:v>
      </x:c>
      <x:c r="C27" s="61" t="str">
        <x:v>near_500_5k</x:v>
      </x:c>
      <x:c r="D27" s="61" t="str">
        <x:v>John Kloetzing</x:v>
      </x:c>
      <x:c r="E27" s="61" t="str">
        <x:v>https://www.linkedin.com/in/john-kloetzing</x:v>
      </x:c>
      <x:c r="F27" s="63" t="str">
        <x:v>1367</x:v>
      </x:c>
      <x:c r="G27" s="61" t="str">
        <x:v>2026-07-27</x:v>
      </x:c>
      <x:c r="H27" s="61" t="str">
        <x:v>public_profile_discovery_v4_stage0</x:v>
      </x:c>
      <x:c r="I27" s="22" t="str">
        <x:v>Practitioner-led IBP, scenario planning, pharma constraints, working capital, and AI decision architecture</x:v>
      </x:c>
      <x:c r="J27" s="61" t="str">
        <x:v>none_recorded</x:v>
      </x:c>
      <x:c r="K27" s="61" t="str">
        <x:v>high</x:v>
      </x:c>
      <x:c r="L27" s="61" t="str">
        <x:v>provisional</x:v>
      </x:c>
      <x:c r="M27" s="22" t="str">
        <x:v>Confirm at least 20 English original in-window posts; only 56 lifetime posts were publicly reported</x:v>
      </x:c>
      <x:c r="N27" s="61" t="str">
        <x:f>IF(F27="","unverified",IF(F27&lt;=5000,"near_peer_500_5k",IF(F27&lt;=20000,"growing_5k_20k","established_20k_plus")))</x:f>
        <x:v>near_peer_500_5k</x:v>
      </x:c>
      <x:c r="O27" s="61" t="str">
        <x:f>B27&amp;"|"&amp;N27</x:f>
        <x:v>planning_logistics|near_peer_500_5k</x:v>
      </x:c>
    </x:row>
    <x:row r="28">
      <x:c r="A28" s="61" t="str">
        <x:v>PRC-N1</x:v>
      </x:c>
      <x:c r="B28" s="61" t="str">
        <x:v>purchasing_procurement</x:v>
      </x:c>
      <x:c r="C28" s="61" t="str">
        <x:v>near_500_5k</x:v>
      </x:c>
      <x:c r="D28" s="61" t="str">
        <x:v>Nikhil Tripathi</x:v>
      </x:c>
      <x:c r="E28" s="61" t="str">
        <x:v>https://www.linkedin.com/in/tripathinikhil</x:v>
      </x:c>
      <x:c r="F28" s="63" t="str">
        <x:v>4623</x:v>
      </x:c>
      <x:c r="G28" s="61" t="str">
        <x:v>2026-07-27</x:v>
      </x:c>
      <x:c r="H28" s="61" t="str">
        <x:v>public_profile_discovery_v4_stage0</x:v>
      </x:c>
      <x:c r="I28" s="22" t="str">
        <x:v>Procurement transformation, AI readiness, sourcing, stakeholder influence, and future operating models</x:v>
      </x:c>
      <x:c r="J28" s="61" t="str">
        <x:v>none_recorded</x:v>
      </x:c>
      <x:c r="K28" s="61" t="str">
        <x:v>high</x:v>
      </x:c>
      <x:c r="L28" s="61" t="str">
        <x:v>provisional</x:v>
      </x:c>
      <x:c r="M28" s="22" t="str">
        <x:v>Freeze follower snapshot below 5,000 and confirm at least 20 English original in-window posts</x:v>
      </x:c>
      <x:c r="N28" s="61" t="str">
        <x:f>IF(F28="","unverified",IF(F28&lt;=5000,"near_peer_500_5k",IF(F28&lt;=20000,"growing_5k_20k","established_20k_plus")))</x:f>
        <x:v>near_peer_500_5k</x:v>
      </x:c>
      <x:c r="O28" s="61" t="str">
        <x:f>B28&amp;"|"&amp;N28</x:f>
        <x:v>purchasing_procurement|near_peer_500_5k</x:v>
      </x:c>
    </x:row>
    <x:row r="29">
      <x:c r="A29" s="61" t="str">
        <x:v>PRC-N2</x:v>
      </x:c>
      <x:c r="B29" s="61" t="str">
        <x:v>purchasing_procurement</x:v>
      </x:c>
      <x:c r="C29" s="61" t="str">
        <x:v>near_500_5k</x:v>
      </x:c>
      <x:c r="D29" s="61" t="str">
        <x:v>John Kill</x:v>
      </x:c>
      <x:c r="E29" s="61" t="str">
        <x:v>https://www.linkedin.com/in/johnckill</x:v>
      </x:c>
      <x:c r="F29" s="63" t="str">
        <x:v>3067</x:v>
      </x:c>
      <x:c r="G29" s="61" t="str">
        <x:v>2026-07-27</x:v>
      </x:c>
      <x:c r="H29" s="61" t="str">
        <x:v>public_profile_discovery_v4_stage0</x:v>
      </x:c>
      <x:c r="I29" s="22" t="str">
        <x:v>Manufacturing procurement cases covering reshoring, supplier criticality, spend visibility, sourcing discipline, and resilience</x:v>
      </x:c>
      <x:c r="J29" s="61" t="str">
        <x:v>none_recorded</x:v>
      </x:c>
      <x:c r="K29" s="61" t="str">
        <x:v>high</x:v>
      </x:c>
      <x:c r="L29" s="61" t="str">
        <x:v>provisional</x:v>
      </x:c>
      <x:c r="M29" s="22" t="str">
        <x:v>Confirm at least 20 English original in-window posts and that the current series is sustained</x:v>
      </x:c>
      <x:c r="N29" s="61" t="str">
        <x:f>IF(F29="","unverified",IF(F29&lt;=5000,"near_peer_500_5k",IF(F29&lt;=20000,"growing_5k_20k","established_20k_plus")))</x:f>
        <x:v>near_peer_500_5k</x:v>
      </x:c>
      <x:c r="O29" s="61" t="str">
        <x:f>B29&amp;"|"&amp;N29</x:f>
        <x:v>purchasing_procurement|near_peer_500_5k</x:v>
      </x:c>
    </x:row>
    <x:row r="30">
      <x:c r="A30" s="61" t="str">
        <x:v>IMP-N1</x:v>
      </x:c>
      <x:c r="B30" s="61" t="str">
        <x:v>implementation_adjacent</x:v>
      </x:c>
      <x:c r="C30" s="61" t="str">
        <x:v>near_500_5k</x:v>
      </x:c>
      <x:c r="D30" s="61" t="str">
        <x:v>Stuart Hardman</x:v>
      </x:c>
      <x:c r="E30" s="61" t="str">
        <x:v>https://www.linkedin.com/in/stuart-hardman</x:v>
      </x:c>
      <x:c r="F30" s="63" t="str">
        <x:v>978</x:v>
      </x:c>
      <x:c r="G30" s="61" t="str">
        <x:v>2026-07-27</x:v>
      </x:c>
      <x:c r="H30" s="61" t="str">
        <x:v>public_profile_discovery_v4_stage0</x:v>
      </x:c>
      <x:c r="I30" s="22" t="str">
        <x:v>ERP implementation, Business Central, Copilot, Excel and OneDrive workflows, quality controls, and operational change</x:v>
      </x:c>
      <x:c r="J30" s="61" t="str">
        <x:v>none_recorded</x:v>
      </x:c>
      <x:c r="K30" s="61" t="str">
        <x:v>high</x:v>
      </x:c>
      <x:c r="L30" s="61" t="str">
        <x:v>provisional</x:v>
      </x:c>
      <x:c r="M30" s="22" t="str">
        <x:v>Confirm at least 20 English original in-window posts; exclude company and team updates through the relevance filter</x:v>
      </x:c>
      <x:c r="N30" s="61" t="str">
        <x:f>IF(F30="","unverified",IF(F30&lt;=5000,"near_peer_500_5k",IF(F30&lt;=20000,"growing_5k_20k","established_20k_plus")))</x:f>
        <x:v>near_peer_500_5k</x:v>
      </x:c>
      <x:c r="O30" s="61" t="str">
        <x:f>B30&amp;"|"&amp;N30</x:f>
        <x:v>implementation_adjacent|near_peer_500_5k</x:v>
      </x:c>
    </x:row>
    <x:row r="31">
      <x:c r="A31" s="61" t="str">
        <x:v>IMP-N2</x:v>
      </x:c>
      <x:c r="B31" s="61" t="str">
        <x:v>implementation_adjacent</x:v>
      </x:c>
      <x:c r="C31" s="61" t="str">
        <x:v>near_500_5k</x:v>
      </x:c>
      <x:c r="D31" s="61" t="str">
        <x:v>Niranjan Kulkarni</x:v>
      </x:c>
      <x:c r="E31" s="61" t="str">
        <x:v>https://www.linkedin.com/in/niranjan-kulkarni-pk</x:v>
      </x:c>
      <x:c r="F31" s="63" t="str">
        <x:v>4627</x:v>
      </x:c>
      <x:c r="G31" s="61" t="str">
        <x:v>2026-07-27</x:v>
      </x:c>
      <x:c r="H31" s="61" t="str">
        <x:v>public_profile_discovery_v4_stage0</x:v>
      </x:c>
      <x:c r="I31" s="22" t="str">
        <x:v>Practical 5S, Lean Six Sigma, bottleneck removal, inventory cash flow, and manufacturing improvement</x:v>
      </x:c>
      <x:c r="J31" s="61" t="str">
        <x:v>none_recorded</x:v>
      </x:c>
      <x:c r="K31" s="61" t="str">
        <x:v>high</x:v>
      </x:c>
      <x:c r="L31" s="61" t="str">
        <x:v>provisional</x:v>
      </x:c>
      <x:c r="M31" s="22" t="str">
        <x:v>Freeze follower snapshot below 5,000; confirm at least 20 English original in-window posts and control commercial content</x:v>
      </x:c>
      <x:c r="N31" s="61" t="str">
        <x:f>IF(F31="","unverified",IF(F31&lt;=5000,"near_peer_500_5k",IF(F31&lt;=20000,"growing_5k_20k","established_20k_plus")))</x:f>
        <x:v>near_peer_500_5k</x:v>
      </x:c>
      <x:c r="O31" s="61" t="str">
        <x:f>B31&amp;"|"&amp;N31</x:f>
        <x:v>implementation_adjacent|near_peer_500_5k</x:v>
      </x:c>
    </x:row>
  </x:sheetData>
  <x:pageMargins left="0.7" right="0.7" top="0.75" bottom="0.75" header="0.3" footer="0.3"/>
  <x:tableParts count="1">
    <x:tablePart xmlns:r="http://schemas.openxmlformats.org/officeDocument/2006/relationships" r:id="R395b0fedf3da4a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25" hidden="0" customWidth="1"/>
    <x:col min="3" max="3" width="48" hidden="0" customWidth="1"/>
    <x:col min="4" max="4" width="15" hidden="0" customWidth="1"/>
    <x:col min="5" max="5" width="15" hidden="0" customWidth="1"/>
    <x:col min="6" max="6" width="15" hidden="0" customWidth="1"/>
    <x:col min="7" max="7" width="25" hidden="0" customWidth="1"/>
    <x:col min="8" max="8" width="25" hidden="0" customWidth="1"/>
    <x:col min="9" max="9" width="25" hidden="0" customWidth="1"/>
    <x:col min="10" max="10" width="25" hidden="0" customWidth="1"/>
    <x:col min="11" max="11" width="25" hidden="0" customWidth="1"/>
    <x:col min="12" max="12" width="34" hidden="0" customWidth="1"/>
    <x:col min="13" max="13" width="34" hidden="0" customWidth="1"/>
  </x:cols>
  <x:sheetData>
    <x:row r="1">
      <x:c r="A1" s="68" t="str">
        <x:v>union_creator_id</x:v>
      </x:c>
      <x:c r="B1" s="68" t="str">
        <x:v>creator</x:v>
      </x:c>
      <x:c r="C1" s="68" t="str">
        <x:v>normalized_profile_url</x:v>
      </x:c>
      <x:c r="D1" s="68" t="str">
        <x:v>entity_type</x:v>
      </x:c>
      <x:c r="E1" s="68" t="str">
        <x:v>track_a</x:v>
      </x:c>
      <x:c r="F1" s="68" t="str">
        <x:v>track_b</x:v>
      </x:c>
      <x:c r="G1" s="68" t="str">
        <x:v>peer_candidate_ids</x:v>
      </x:c>
      <x:c r="H1" s="68" t="str">
        <x:v>peer_cohorts</x:v>
      </x:c>
      <x:c r="I1" s="68" t="str">
        <x:v>peer_declared_size_strata</x:v>
      </x:c>
      <x:c r="J1" s="68" t="str">
        <x:v>top100_reference_ids</x:v>
      </x:c>
      <x:c r="K1" s="68" t="str">
        <x:v>top100_transfer_classes</x:v>
      </x:c>
      <x:c r="L1" s="68" t="str">
        <x:v>prior_outcome_exposure</x:v>
      </x:c>
      <x:c r="M1" s="68" t="str">
        <x:v>deduplication_note</x:v>
      </x:c>
    </x:row>
    <x:row r="2">
      <x:c r="A2" s="22" t="str">
        <x:v>U001</x:v>
      </x:c>
      <x:c r="B2" s="22" t="str">
        <x:v>Adam Smiarowski</x:v>
      </x:c>
      <x:c r="C2" s="22" t="str">
        <x:v>https://www.linkedin.com/in/adam-smiarowski</x:v>
      </x:c>
      <x:c r="D2" s="22" t="str">
        <x:v>personal_profile</x:v>
      </x:c>
      <x:c r="E2" s="22" t="str">
        <x:v>no</x:v>
      </x:c>
      <x:c r="F2" s="22" t="str">
        <x:v>yes</x:v>
      </x:c>
      <x:c r="G2" s="22" t="str"/>
      <x:c r="H2" s="22" t="str"/>
      <x:c r="I2" s="22" t="str"/>
      <x:c r="J2" s="22" t="str">
        <x:v>51</x:v>
      </x:c>
      <x:c r="K2" s="22" t="str">
        <x:v>direct_scm</x:v>
      </x:c>
      <x:c r="L2" s="22" t="str">
        <x:v>repository_top100_exposure</x:v>
      </x:c>
      <x:c r="M2" s="22" t="str"/>
    </x:row>
    <x:row r="3">
      <x:c r="A3" s="22" t="str">
        <x:v>U002</x:v>
      </x:c>
      <x:c r="B3" s="22" t="str">
        <x:v>Agnieszka Kamila Van der Veen</x:v>
      </x:c>
      <x:c r="C3" s="22" t="str">
        <x:v>https://www.linkedin.com/in/agnieszka-kamila-van-der-veen-mba-8943266b</x:v>
      </x:c>
      <x:c r="D3" s="22" t="str">
        <x:v>personal_profile</x:v>
      </x:c>
      <x:c r="E3" s="22" t="str">
        <x:v>no</x:v>
      </x:c>
      <x:c r="F3" s="22" t="str">
        <x:v>yes</x:v>
      </x:c>
      <x:c r="G3" s="22" t="str"/>
      <x:c r="H3" s="22" t="str"/>
      <x:c r="I3" s="22" t="str"/>
      <x:c r="J3" s="22" t="str">
        <x:v>65; 66</x:v>
      </x:c>
      <x:c r="K3" s="22" t="str">
        <x:v>implementation_adjacent</x:v>
      </x:c>
      <x:c r="L3" s="22" t="str">
        <x:v>repository_top100_exposure</x:v>
      </x:c>
      <x:c r="M3" s="22" t="str"/>
    </x:row>
    <x:row r="4">
      <x:c r="A4" s="22" t="str">
        <x:v>U003</x:v>
      </x:c>
      <x:c r="B4" s="22" t="str">
        <x:v>AI For Leaders</x:v>
      </x:c>
      <x:c r="C4" s="22" t="str">
        <x:v>https://www.linkedin.com/company/aiforleaders</x:v>
      </x:c>
      <x:c r="D4" s="22" t="str">
        <x:v>company_page</x:v>
      </x:c>
      <x:c r="E4" s="22" t="str">
        <x:v>no</x:v>
      </x:c>
      <x:c r="F4" s="22" t="str">
        <x:v>yes</x:v>
      </x:c>
      <x:c r="G4" s="22" t="str"/>
      <x:c r="H4" s="22" t="str"/>
      <x:c r="I4" s="22" t="str"/>
      <x:c r="J4" s="22" t="str">
        <x:v>79</x:v>
      </x:c>
      <x:c r="K4" s="22" t="str">
        <x:v>implementation_adjacent</x:v>
      </x:c>
      <x:c r="L4" s="22" t="str">
        <x:v>repository_top100_exposure</x:v>
      </x:c>
      <x:c r="M4" s="22" t="str"/>
    </x:row>
    <x:row r="5">
      <x:c r="A5" s="22" t="str">
        <x:v>U004</x:v>
      </x:c>
      <x:c r="B5" s="22" t="str">
        <x:v>Aleksandar Radosevic</x:v>
      </x:c>
      <x:c r="C5" s="22" t="str">
        <x:v>https://www.linkedin.com/in/aleksandar-radosevic-b2b-saas-copywriting</x:v>
      </x:c>
      <x:c r="D5" s="22" t="str">
        <x:v>personal_profile</x:v>
      </x:c>
      <x:c r="E5" s="22" t="str">
        <x:v>no</x:v>
      </x:c>
      <x:c r="F5" s="22" t="str">
        <x:v>yes</x:v>
      </x:c>
      <x:c r="G5" s="22" t="str"/>
      <x:c r="H5" s="22" t="str"/>
      <x:c r="I5" s="22" t="str"/>
      <x:c r="J5" s="22" t="str">
        <x:v>40</x:v>
      </x:c>
      <x:c r="K5" s="22" t="str">
        <x:v>external_transferable</x:v>
      </x:c>
      <x:c r="L5" s="22" t="str">
        <x:v>repository_top100_exposure</x:v>
      </x:c>
      <x:c r="M5" s="22" t="str"/>
    </x:row>
    <x:row r="6">
      <x:c r="A6" s="22" t="str">
        <x:v>U005</x:v>
      </x:c>
      <x:c r="B6" s="22" t="str">
        <x:v>Alex Vacca</x:v>
      </x:c>
      <x:c r="C6" s="22" t="str">
        <x:v>https://www.linkedin.com/in/alex-vacca</x:v>
      </x:c>
      <x:c r="D6" s="22" t="str">
        <x:v>personal_profile</x:v>
      </x:c>
      <x:c r="E6" s="22" t="str">
        <x:v>no</x:v>
      </x:c>
      <x:c r="F6" s="22" t="str">
        <x:v>yes</x:v>
      </x:c>
      <x:c r="G6" s="22" t="str"/>
      <x:c r="H6" s="22" t="str"/>
      <x:c r="I6" s="22" t="str"/>
      <x:c r="J6" s="22" t="str">
        <x:v>21</x:v>
      </x:c>
      <x:c r="K6" s="22" t="str">
        <x:v>external_transferable</x:v>
      </x:c>
      <x:c r="L6" s="22" t="str">
        <x:v>repository_top100_exposure</x:v>
      </x:c>
      <x:c r="M6" s="22" t="str"/>
    </x:row>
    <x:row r="7">
      <x:c r="A7" s="22" t="str">
        <x:v>U006</x:v>
      </x:c>
      <x:c r="B7" s="22" t="str">
        <x:v>Alper Ozel</x:v>
      </x:c>
      <x:c r="C7" s="22" t="str">
        <x:v>https://www.linkedin.com/in/alper-ozel-723ab511</x:v>
      </x:c>
      <x:c r="D7" s="22" t="str">
        <x:v>personal_profile</x:v>
      </x:c>
      <x:c r="E7" s="22" t="str">
        <x:v>no</x:v>
      </x:c>
      <x:c r="F7" s="22" t="str">
        <x:v>yes</x:v>
      </x:c>
      <x:c r="G7" s="22" t="str"/>
      <x:c r="H7" s="22" t="str"/>
      <x:c r="I7" s="22" t="str"/>
      <x:c r="J7" s="22" t="str">
        <x:v>76</x:v>
      </x:c>
      <x:c r="K7" s="22" t="str">
        <x:v>direct_scm</x:v>
      </x:c>
      <x:c r="L7" s="22" t="str">
        <x:v>repository_top100_exposure</x:v>
      </x:c>
      <x:c r="M7" s="22" t="str"/>
    </x:row>
    <x:row r="8">
      <x:c r="A8" s="22" t="str">
        <x:v>U007</x:v>
      </x:c>
      <x:c r="B8" s="22" t="str">
        <x:v>Amit Kumar Rai</x:v>
      </x:c>
      <x:c r="C8" s="22" t="str">
        <x:v>https://www.linkedin.com/in/amit-kumar-rai-a945842b</x:v>
      </x:c>
      <x:c r="D8" s="22" t="str">
        <x:v>personal_profile</x:v>
      </x:c>
      <x:c r="E8" s="22" t="str">
        <x:v>no</x:v>
      </x:c>
      <x:c r="F8" s="22" t="str">
        <x:v>yes</x:v>
      </x:c>
      <x:c r="G8" s="22" t="str"/>
      <x:c r="H8" s="22" t="str"/>
      <x:c r="I8" s="22" t="str"/>
      <x:c r="J8" s="22" t="str">
        <x:v>25</x:v>
      </x:c>
      <x:c r="K8" s="22" t="str">
        <x:v>direct_scm</x:v>
      </x:c>
      <x:c r="L8" s="22" t="str">
        <x:v>repository_top100_exposure</x:v>
      </x:c>
      <x:c r="M8" s="22" t="str"/>
    </x:row>
    <x:row r="9">
      <x:c r="A9" s="22" t="str">
        <x:v>U008</x:v>
      </x:c>
      <x:c r="B9" s="22" t="str">
        <x:v>Angus Craig FCIPS</x:v>
      </x:c>
      <x:c r="C9" s="22" t="str">
        <x:v>https://www.linkedin.com/in/anguscraigfcips</x:v>
      </x:c>
      <x:c r="D9" s="22" t="str">
        <x:v>personal_profile</x:v>
      </x:c>
      <x:c r="E9" s="22" t="str">
        <x:v>no</x:v>
      </x:c>
      <x:c r="F9" s="22" t="str">
        <x:v>yes</x:v>
      </x:c>
      <x:c r="G9" s="22" t="str"/>
      <x:c r="H9" s="22" t="str"/>
      <x:c r="I9" s="22" t="str"/>
      <x:c r="J9" s="22" t="str">
        <x:v>84</x:v>
      </x:c>
      <x:c r="K9" s="22" t="str">
        <x:v>direct_scm</x:v>
      </x:c>
      <x:c r="L9" s="22" t="str">
        <x:v>repository_top100_exposure</x:v>
      </x:c>
      <x:c r="M9" s="22" t="str"/>
    </x:row>
    <x:row r="10">
      <x:c r="A10" s="22" t="str">
        <x:v>U009</x:v>
      </x:c>
      <x:c r="B10" s="22" t="str">
        <x:v>Anisha Jain</x:v>
      </x:c>
      <x:c r="C10" s="22" t="str">
        <x:v>https://www.linkedin.com/in/theanishajain</x:v>
      </x:c>
      <x:c r="D10" s="22" t="str">
        <x:v>personal_profile</x:v>
      </x:c>
      <x:c r="E10" s="22" t="str">
        <x:v>no</x:v>
      </x:c>
      <x:c r="F10" s="22" t="str">
        <x:v>yes</x:v>
      </x:c>
      <x:c r="G10" s="22" t="str"/>
      <x:c r="H10" s="22" t="str"/>
      <x:c r="I10" s="22" t="str"/>
      <x:c r="J10" s="22" t="str">
        <x:v>55</x:v>
      </x:c>
      <x:c r="K10" s="22" t="str">
        <x:v>external_transferable</x:v>
      </x:c>
      <x:c r="L10" s="22" t="str">
        <x:v>repository_top100_exposure</x:v>
      </x:c>
      <x:c r="M10" s="22" t="str"/>
    </x:row>
    <x:row r="11">
      <x:c r="A11" s="22" t="str">
        <x:v>U010</x:v>
      </x:c>
      <x:c r="B11" s="22" t="str">
        <x:v>Anup Karumanchi</x:v>
      </x:c>
      <x:c r="C11" s="22" t="str">
        <x:v>https://www.linkedin.com/in/anupkarumanchi</x:v>
      </x:c>
      <x:c r="D11" s="22" t="str">
        <x:v>personal_profile</x:v>
      </x:c>
      <x:c r="E11" s="22" t="str">
        <x:v>no</x:v>
      </x:c>
      <x:c r="F11" s="22" t="str">
        <x:v>yes</x:v>
      </x:c>
      <x:c r="G11" s="22" t="str"/>
      <x:c r="H11" s="22" t="str"/>
      <x:c r="I11" s="22" t="str"/>
      <x:c r="J11" s="22" t="str">
        <x:v>2</x:v>
      </x:c>
      <x:c r="K11" s="22" t="str">
        <x:v>direct_scm</x:v>
      </x:c>
      <x:c r="L11" s="22" t="str">
        <x:v>repository_top100_exposure</x:v>
      </x:c>
      <x:c r="M11" s="22" t="str"/>
    </x:row>
    <x:row r="12">
      <x:c r="A12" s="22" t="str">
        <x:v>U011</x:v>
      </x:c>
      <x:c r="B12" s="22" t="str">
        <x:v>Asmaa Gad</x:v>
      </x:c>
      <x:c r="C12" s="22" t="str">
        <x:v>https://www.linkedin.com/in/supplychainaipro</x:v>
      </x:c>
      <x:c r="D12" s="22" t="str">
        <x:v>personal_profile</x:v>
      </x:c>
      <x:c r="E12" s="22" t="str">
        <x:v>yes</x:v>
      </x:c>
      <x:c r="F12" s="22" t="str">
        <x:v>yes</x:v>
      </x:c>
      <x:c r="G12" s="22" t="str">
        <x:v>PRC-X4</x:v>
      </x:c>
      <x:c r="H12" s="22" t="str">
        <x:v>purchasing_procurement</x:v>
      </x:c>
      <x:c r="I12" s="22" t="str">
        <x:v>established_20k_plus</x:v>
      </x:c>
      <x:c r="J12" s="22" t="str">
        <x:v>20; 22; 29; 34; 38; 49; 52; 54; 67; 70; 71; 87; 97</x:v>
      </x:c>
      <x:c r="K12" s="22" t="str">
        <x:v>direct_scm</x:v>
      </x:c>
      <x:c r="L12" s="22" t="str">
        <x:v>repository_top100_exposure</x:v>
      </x:c>
      <x:c r="M12" s="22" t="str">
        <x:v>Track A/B overlap; extract history once and preserve both labels.</x:v>
      </x:c>
    </x:row>
    <x:row r="13">
      <x:c r="A13" s="22" t="str">
        <x:v>U012</x:v>
      </x:c>
      <x:c r="B13" s="22" t="str">
        <x:v>Ben Willis</x:v>
      </x:c>
      <x:c r="C13" s="22" t="str">
        <x:v>https://www.linkedin.com/in/benjamintwillis</x:v>
      </x:c>
      <x:c r="D13" s="22" t="str">
        <x:v>personal_profile</x:v>
      </x:c>
      <x:c r="E13" s="22" t="str">
        <x:v>no</x:v>
      </x:c>
      <x:c r="F13" s="22" t="str">
        <x:v>yes</x:v>
      </x:c>
      <x:c r="G13" s="22" t="str"/>
      <x:c r="H13" s="22" t="str"/>
      <x:c r="I13" s="22" t="str"/>
      <x:c r="J13" s="22" t="str">
        <x:v>95</x:v>
      </x:c>
      <x:c r="K13" s="22" t="str">
        <x:v>direct_scm</x:v>
      </x:c>
      <x:c r="L13" s="22" t="str">
        <x:v>repository_top100_exposure</x:v>
      </x:c>
      <x:c r="M13" s="22" t="str"/>
    </x:row>
    <x:row r="14">
      <x:c r="A14" s="22" t="str">
        <x:v>U013</x:v>
      </x:c>
      <x:c r="B14" s="22" t="str">
        <x:v>Carol Ptak</x:v>
      </x:c>
      <x:c r="C14" s="22" t="str">
        <x:v>https://www.linkedin.com/in/demanddrivencarol</x:v>
      </x:c>
      <x:c r="D14" s="22" t="str">
        <x:v>personal_profile</x:v>
      </x:c>
      <x:c r="E14" s="22" t="str">
        <x:v>no</x:v>
      </x:c>
      <x:c r="F14" s="22" t="str">
        <x:v>yes</x:v>
      </x:c>
      <x:c r="G14" s="22" t="str"/>
      <x:c r="H14" s="22" t="str"/>
      <x:c r="I14" s="22" t="str"/>
      <x:c r="J14" s="22" t="str">
        <x:v>44</x:v>
      </x:c>
      <x:c r="K14" s="22" t="str">
        <x:v>direct_scm</x:v>
      </x:c>
      <x:c r="L14" s="22" t="str">
        <x:v>repository_top100_exposure</x:v>
      </x:c>
      <x:c r="M14" s="22" t="str"/>
    </x:row>
    <x:row r="15">
      <x:c r="A15" s="22" t="str">
        <x:v>U014</x:v>
      </x:c>
      <x:c r="B15" s="22" t="str">
        <x:v>Charlie Hills</x:v>
      </x:c>
      <x:c r="C15" s="22" t="str">
        <x:v>https://www.linkedin.com/in/charlie-hills</x:v>
      </x:c>
      <x:c r="D15" s="22" t="str">
        <x:v>personal_profile</x:v>
      </x:c>
      <x:c r="E15" s="22" t="str">
        <x:v>no</x:v>
      </x:c>
      <x:c r="F15" s="22" t="str">
        <x:v>yes</x:v>
      </x:c>
      <x:c r="G15" s="22" t="str"/>
      <x:c r="H15" s="22" t="str"/>
      <x:c r="I15" s="22" t="str"/>
      <x:c r="J15" s="22" t="str">
        <x:v>11; 15; 17; 72</x:v>
      </x:c>
      <x:c r="K15" s="22" t="str">
        <x:v>implementation_adjacent; external_transferable</x:v>
      </x:c>
      <x:c r="L15" s="22" t="str">
        <x:v>repository_top100_exposure</x:v>
      </x:c>
      <x:c r="M15" s="22" t="str"/>
    </x:row>
    <x:row r="16">
      <x:c r="A16" s="22" t="str">
        <x:v>U015</x:v>
      </x:c>
      <x:c r="B16" s="22" t="str">
        <x:v>Chris Donnelly</x:v>
      </x:c>
      <x:c r="C16" s="22" t="str">
        <x:v>https://www.linkedin.com/in/donnellychris</x:v>
      </x:c>
      <x:c r="D16" s="22" t="str">
        <x:v>personal_profile</x:v>
      </x:c>
      <x:c r="E16" s="22" t="str">
        <x:v>no</x:v>
      </x:c>
      <x:c r="F16" s="22" t="str">
        <x:v>yes</x:v>
      </x:c>
      <x:c r="G16" s="22" t="str"/>
      <x:c r="H16" s="22" t="str"/>
      <x:c r="I16" s="22" t="str"/>
      <x:c r="J16" s="22" t="str">
        <x:v>78</x:v>
      </x:c>
      <x:c r="K16" s="22" t="str">
        <x:v>implementation_adjacent</x:v>
      </x:c>
      <x:c r="L16" s="22" t="str">
        <x:v>repository_top100_exposure</x:v>
      </x:c>
      <x:c r="M16" s="22" t="str"/>
    </x:row>
    <x:row r="17">
      <x:c r="A17" s="22" t="str">
        <x:v>U016</x:v>
      </x:c>
      <x:c r="B17" s="22" t="str">
        <x:v>Christoph Roser</x:v>
      </x:c>
      <x:c r="C17" s="22" t="str">
        <x:v>https://www.linkedin.com/in/christoph-roser-allaboutlean</x:v>
      </x:c>
      <x:c r="D17" s="22" t="str">
        <x:v>personal_profile</x:v>
      </x:c>
      <x:c r="E17" s="22" t="str">
        <x:v>yes</x:v>
      </x:c>
      <x:c r="F17" s="22" t="str">
        <x:v>no</x:v>
      </x:c>
      <x:c r="G17" s="22" t="str">
        <x:v>IMP-E3</x:v>
      </x:c>
      <x:c r="H17" s="22" t="str">
        <x:v>implementation_adjacent</x:v>
      </x:c>
      <x:c r="I17" s="22" t="str">
        <x:v>emerging_1k_20k</x:v>
      </x:c>
      <x:c r="J17" s="22" t="str"/>
      <x:c r="K17" s="22" t="str"/>
      <x:c r="L17" s="22" t="str">
        <x:v>none_recorded</x:v>
      </x:c>
      <x:c r="M17" s="22" t="str"/>
    </x:row>
    <x:row r="18">
      <x:c r="A18" s="22" t="str">
        <x:v>U017</x:v>
      </x:c>
      <x:c r="B18" s="22" t="str">
        <x:v>Dan Martell</x:v>
      </x:c>
      <x:c r="C18" s="22" t="str">
        <x:v>https://www.linkedin.com/in/dmartell</x:v>
      </x:c>
      <x:c r="D18" s="22" t="str">
        <x:v>personal_profile</x:v>
      </x:c>
      <x:c r="E18" s="22" t="str">
        <x:v>no</x:v>
      </x:c>
      <x:c r="F18" s="22" t="str">
        <x:v>yes</x:v>
      </x:c>
      <x:c r="G18" s="22" t="str"/>
      <x:c r="H18" s="22" t="str"/>
      <x:c r="I18" s="22" t="str"/>
      <x:c r="J18" s="22" t="str">
        <x:v>100</x:v>
      </x:c>
      <x:c r="K18" s="22" t="str">
        <x:v>implementation_adjacent</x:v>
      </x:c>
      <x:c r="L18" s="22" t="str">
        <x:v>repository_top100_exposure</x:v>
      </x:c>
      <x:c r="M18" s="22" t="str"/>
    </x:row>
    <x:row r="19">
      <x:c r="A19" s="22" t="str">
        <x:v>U018</x:v>
      </x:c>
      <x:c r="B19" s="22" t="str">
        <x:v>Daniel Stanton</x:v>
      </x:c>
      <x:c r="C19" s="22" t="str">
        <x:v>https://www.linkedin.com/in/danielstanton</x:v>
      </x:c>
      <x:c r="D19" s="22" t="str">
        <x:v>personal_profile</x:v>
      </x:c>
      <x:c r="E19" s="22" t="str">
        <x:v>yes</x:v>
      </x:c>
      <x:c r="F19" s="22" t="str">
        <x:v>no</x:v>
      </x:c>
      <x:c r="G19" s="22" t="str">
        <x:v>PLN-X2</x:v>
      </x:c>
      <x:c r="H19" s="22" t="str">
        <x:v>planning_logistics</x:v>
      </x:c>
      <x:c r="I19" s="22" t="str">
        <x:v>established_20k_plus</x:v>
      </x:c>
      <x:c r="J19" s="22" t="str"/>
      <x:c r="K19" s="22" t="str"/>
      <x:c r="L19" s="22" t="str">
        <x:v>repository_benchmark</x:v>
      </x:c>
      <x:c r="M19" s="22" t="str"/>
    </x:row>
    <x:row r="20">
      <x:c r="A20" s="22" t="str">
        <x:v>U019</x:v>
      </x:c>
      <x:c r="B20" s="22" t="str">
        <x:v>Dave Barr</x:v>
      </x:c>
      <x:c r="C20" s="22" t="str">
        <x:v>https://www.linkedin.com/in/davidianscottbarr</x:v>
      </x:c>
      <x:c r="D20" s="22" t="str">
        <x:v>personal_profile</x:v>
      </x:c>
      <x:c r="E20" s="22" t="str">
        <x:v>yes</x:v>
      </x:c>
      <x:c r="F20" s="22" t="str">
        <x:v>no</x:v>
      </x:c>
      <x:c r="G20" s="22" t="str">
        <x:v>PRC-E4</x:v>
      </x:c>
      <x:c r="H20" s="22" t="str">
        <x:v>purchasing_procurement</x:v>
      </x:c>
      <x:c r="I20" s="22" t="str">
        <x:v>emerging_1k_20k</x:v>
      </x:c>
      <x:c r="J20" s="22" t="str"/>
      <x:c r="K20" s="22" t="str"/>
      <x:c r="L20" s="22" t="str">
        <x:v>none_recorded</x:v>
      </x:c>
      <x:c r="M20" s="22" t="str"/>
    </x:row>
    <x:row r="21">
      <x:c r="A21" s="22" t="str">
        <x:v>U020</x:v>
      </x:c>
      <x:c r="B21" s="22" t="str">
        <x:v>Diandra Escobar</x:v>
      </x:c>
      <x:c r="C21" s="22" t="str">
        <x:v>https://www.linkedin.com/in/diandraescobar</x:v>
      </x:c>
      <x:c r="D21" s="22" t="str">
        <x:v>personal_profile</x:v>
      </x:c>
      <x:c r="E21" s="22" t="str">
        <x:v>no</x:v>
      </x:c>
      <x:c r="F21" s="22" t="str">
        <x:v>yes</x:v>
      </x:c>
      <x:c r="G21" s="22" t="str"/>
      <x:c r="H21" s="22" t="str"/>
      <x:c r="I21" s="22" t="str"/>
      <x:c r="J21" s="22" t="str">
        <x:v>12; 68</x:v>
      </x:c>
      <x:c r="K21" s="22" t="str">
        <x:v>external_transferable</x:v>
      </x:c>
      <x:c r="L21" s="22" t="str">
        <x:v>repository_top100_exposure</x:v>
      </x:c>
      <x:c r="M21" s="22" t="str"/>
    </x:row>
    <x:row r="22">
      <x:c r="A22" s="22" t="str">
        <x:v>U021</x:v>
      </x:c>
      <x:c r="B22" s="22" t="str">
        <x:v>Dinesh Krishna</x:v>
      </x:c>
      <x:c r="C22" s="22" t="str">
        <x:v>https://www.linkedin.com/in/dinesh-krishna-4a568782</x:v>
      </x:c>
      <x:c r="D22" s="22" t="str">
        <x:v>personal_profile</x:v>
      </x:c>
      <x:c r="E22" s="22" t="str">
        <x:v>no</x:v>
      </x:c>
      <x:c r="F22" s="22" t="str">
        <x:v>yes</x:v>
      </x:c>
      <x:c r="G22" s="22" t="str"/>
      <x:c r="H22" s="22" t="str"/>
      <x:c r="I22" s="22" t="str"/>
      <x:c r="J22" s="22" t="str">
        <x:v>96</x:v>
      </x:c>
      <x:c r="K22" s="22" t="str">
        <x:v>direct_scm</x:v>
      </x:c>
      <x:c r="L22" s="22" t="str">
        <x:v>repository_top100_exposure</x:v>
      </x:c>
      <x:c r="M22" s="22" t="str"/>
    </x:row>
    <x:row r="23">
      <x:c r="A23" s="22" t="str">
        <x:v>U022</x:v>
      </x:c>
      <x:c r="B23" s="22" t="str">
        <x:v>Edouard Thieuleux</x:v>
      </x:c>
      <x:c r="C23" s="22" t="str">
        <x:v>https://www.linkedin.com/in/edouardthieuleux</x:v>
      </x:c>
      <x:c r="D23" s="22" t="str">
        <x:v>personal_profile</x:v>
      </x:c>
      <x:c r="E23" s="22" t="str">
        <x:v>no</x:v>
      </x:c>
      <x:c r="F23" s="22" t="str">
        <x:v>yes</x:v>
      </x:c>
      <x:c r="G23" s="22" t="str"/>
      <x:c r="H23" s="22" t="str"/>
      <x:c r="I23" s="22" t="str"/>
      <x:c r="J23" s="22" t="str">
        <x:v>85</x:v>
      </x:c>
      <x:c r="K23" s="22" t="str">
        <x:v>direct_scm</x:v>
      </x:c>
      <x:c r="L23" s="22" t="str">
        <x:v>repository_top100_exposure</x:v>
      </x:c>
      <x:c r="M23" s="22" t="str"/>
    </x:row>
    <x:row r="24">
      <x:c r="A24" s="22" t="str">
        <x:v>U023</x:v>
      </x:c>
      <x:c r="B24" s="22" t="str">
        <x:v>Elisabeth Swan</x:v>
      </x:c>
      <x:c r="C24" s="22" t="str">
        <x:v>https://www.linkedin.com/in/elisabethswan</x:v>
      </x:c>
      <x:c r="D24" s="22" t="str">
        <x:v>personal_profile</x:v>
      </x:c>
      <x:c r="E24" s="22" t="str">
        <x:v>yes</x:v>
      </x:c>
      <x:c r="F24" s="22" t="str">
        <x:v>no</x:v>
      </x:c>
      <x:c r="G24" s="22" t="str">
        <x:v>IMP-E4</x:v>
      </x:c>
      <x:c r="H24" s="22" t="str">
        <x:v>implementation_adjacent</x:v>
      </x:c>
      <x:c r="I24" s="22" t="str">
        <x:v>emerging_1k_20k</x:v>
      </x:c>
      <x:c r="J24" s="22" t="str"/>
      <x:c r="K24" s="22" t="str"/>
      <x:c r="L24" s="22" t="str">
        <x:v>none_recorded</x:v>
      </x:c>
      <x:c r="M24" s="22" t="str"/>
    </x:row>
    <x:row r="25">
      <x:c r="A25" s="22" t="str">
        <x:v>U024</x:v>
      </x:c>
      <x:c r="B25" s="22" t="str">
        <x:v>Eric Partaker</x:v>
      </x:c>
      <x:c r="C25" s="22" t="str">
        <x:v>https://www.linkedin.com/in/ericpartaker</x:v>
      </x:c>
      <x:c r="D25" s="22" t="str">
        <x:v>personal_profile</x:v>
      </x:c>
      <x:c r="E25" s="22" t="str">
        <x:v>no</x:v>
      </x:c>
      <x:c r="F25" s="22" t="str">
        <x:v>yes</x:v>
      </x:c>
      <x:c r="G25" s="22" t="str"/>
      <x:c r="H25" s="22" t="str"/>
      <x:c r="I25" s="22" t="str"/>
      <x:c r="J25" s="22" t="str">
        <x:v>1; 7; 8; 14; 18; 19; 24; 31; 63</x:v>
      </x:c>
      <x:c r="K25" s="22" t="str">
        <x:v>external_transferable</x:v>
      </x:c>
      <x:c r="L25" s="22" t="str">
        <x:v>repository_top100_exposure</x:v>
      </x:c>
      <x:c r="M25" s="22" t="str"/>
    </x:row>
    <x:row r="26">
      <x:c r="A26" s="22" t="str">
        <x:v>U025</x:v>
      </x:c>
      <x:c r="B26" s="22" t="str">
        <x:v>Eric Wilson</x:v>
      </x:c>
      <x:c r="C26" s="22" t="str">
        <x:v>https://www.linkedin.com/in/wilsondemand</x:v>
      </x:c>
      <x:c r="D26" s="22" t="str">
        <x:v>personal_profile</x:v>
      </x:c>
      <x:c r="E26" s="22" t="str">
        <x:v>yes</x:v>
      </x:c>
      <x:c r="F26" s="22" t="str">
        <x:v>no</x:v>
      </x:c>
      <x:c r="G26" s="22" t="str">
        <x:v>PLN-X4</x:v>
      </x:c>
      <x:c r="H26" s="22" t="str">
        <x:v>planning_logistics</x:v>
      </x:c>
      <x:c r="I26" s="22" t="str">
        <x:v>established_20k_plus</x:v>
      </x:c>
      <x:c r="J26" s="22" t="str"/>
      <x:c r="K26" s="22" t="str"/>
      <x:c r="L26" s="22" t="str">
        <x:v>none_recorded</x:v>
      </x:c>
      <x:c r="M26" s="22" t="str"/>
    </x:row>
    <x:row r="27">
      <x:c r="A27" s="22" t="str">
        <x:v>U026</x:v>
      </x:c>
      <x:c r="B27" s="22" t="str">
        <x:v>Fatima Khan</x:v>
      </x:c>
      <x:c r="C27" s="22" t="str">
        <x:v>https://www.linkedin.com/in/fatima-rasheed-khan</x:v>
      </x:c>
      <x:c r="D27" s="22" t="str">
        <x:v>personal_profile</x:v>
      </x:c>
      <x:c r="E27" s="22" t="str">
        <x:v>no</x:v>
      </x:c>
      <x:c r="F27" s="22" t="str">
        <x:v>yes</x:v>
      </x:c>
      <x:c r="G27" s="22" t="str"/>
      <x:c r="H27" s="22" t="str"/>
      <x:c r="I27" s="22" t="str"/>
      <x:c r="J27" s="22" t="str">
        <x:v>3</x:v>
      </x:c>
      <x:c r="K27" s="22" t="str">
        <x:v>implementation_adjacent</x:v>
      </x:c>
      <x:c r="L27" s="22" t="str">
        <x:v>repository_top100_exposure</x:v>
      </x:c>
      <x:c r="M27" s="22" t="str"/>
    </x:row>
    <x:row r="28">
      <x:c r="A28" s="22" t="str">
        <x:v>U027</x:v>
      </x:c>
      <x:c r="B28" s="22" t="str">
        <x:v>Fouad Enba</x:v>
      </x:c>
      <x:c r="C28" s="22" t="str">
        <x:v>https://www.linkedin.com/in/fouad317</x:v>
      </x:c>
      <x:c r="D28" s="22" t="str">
        <x:v>personal_profile</x:v>
      </x:c>
      <x:c r="E28" s="22" t="str">
        <x:v>no</x:v>
      </x:c>
      <x:c r="F28" s="22" t="str">
        <x:v>yes</x:v>
      </x:c>
      <x:c r="G28" s="22" t="str"/>
      <x:c r="H28" s="22" t="str"/>
      <x:c r="I28" s="22" t="str"/>
      <x:c r="J28" s="22" t="str">
        <x:v>77</x:v>
      </x:c>
      <x:c r="K28" s="22" t="str">
        <x:v>direct_scm</x:v>
      </x:c>
      <x:c r="L28" s="22" t="str">
        <x:v>repository_top100_exposure</x:v>
      </x:c>
      <x:c r="M28" s="22" t="str"/>
    </x:row>
    <x:row r="29">
      <x:c r="A29" s="22" t="str">
        <x:v>U028</x:v>
      </x:c>
      <x:c r="B29" s="22" t="str">
        <x:v>Giovanni Beggiato</x:v>
      </x:c>
      <x:c r="C29" s="22" t="str">
        <x:v>https://www.linkedin.com/in/giovanni-beggiato</x:v>
      </x:c>
      <x:c r="D29" s="22" t="str">
        <x:v>personal_profile</x:v>
      </x:c>
      <x:c r="E29" s="22" t="str">
        <x:v>no</x:v>
      </x:c>
      <x:c r="F29" s="22" t="str">
        <x:v>yes</x:v>
      </x:c>
      <x:c r="G29" s="22" t="str"/>
      <x:c r="H29" s="22" t="str"/>
      <x:c r="I29" s="22" t="str"/>
      <x:c r="J29" s="22" t="str">
        <x:v>80</x:v>
      </x:c>
      <x:c r="K29" s="22" t="str">
        <x:v>implementation_adjacent</x:v>
      </x:c>
      <x:c r="L29" s="22" t="str">
        <x:v>repository_top100_exposure</x:v>
      </x:c>
      <x:c r="M29" s="22" t="str"/>
    </x:row>
    <x:row r="30">
      <x:c r="A30" s="22" t="str">
        <x:v>U029</x:v>
      </x:c>
      <x:c r="B30" s="22" t="str">
        <x:v>Harry McKaig</x:v>
      </x:c>
      <x:c r="C30" s="22" t="str">
        <x:v>https://www.linkedin.com/in/harrymckaig</x:v>
      </x:c>
      <x:c r="D30" s="22" t="str">
        <x:v>personal_profile</x:v>
      </x:c>
      <x:c r="E30" s="22" t="str">
        <x:v>no</x:v>
      </x:c>
      <x:c r="F30" s="22" t="str">
        <x:v>yes</x:v>
      </x:c>
      <x:c r="G30" s="22" t="str"/>
      <x:c r="H30" s="22" t="str"/>
      <x:c r="I30" s="22" t="str"/>
      <x:c r="J30" s="22" t="str">
        <x:v>92</x:v>
      </x:c>
      <x:c r="K30" s="22" t="str">
        <x:v>external_transferable</x:v>
      </x:c>
      <x:c r="L30" s="22" t="str">
        <x:v>repository_top100_exposure</x:v>
      </x:c>
      <x:c r="M30" s="22" t="str"/>
    </x:row>
    <x:row r="31">
      <x:c r="A31" s="22" t="str">
        <x:v>U030</x:v>
      </x:c>
      <x:c r="B31" s="22" t="str">
        <x:v>Hashim H.</x:v>
      </x:c>
      <x:c r="C31" s="22" t="str">
        <x:v>https://www.linkedin.com/in/hashimhamdanek</x:v>
      </x:c>
      <x:c r="D31" s="22" t="str">
        <x:v>personal_profile</x:v>
      </x:c>
      <x:c r="E31" s="22" t="str">
        <x:v>no</x:v>
      </x:c>
      <x:c r="F31" s="22" t="str">
        <x:v>yes</x:v>
      </x:c>
      <x:c r="G31" s="22" t="str"/>
      <x:c r="H31" s="22" t="str"/>
      <x:c r="I31" s="22" t="str"/>
      <x:c r="J31" s="22" t="str">
        <x:v>39</x:v>
      </x:c>
      <x:c r="K31" s="22" t="str">
        <x:v>direct_scm</x:v>
      </x:c>
      <x:c r="L31" s="22" t="str">
        <x:v>repository_top100_exposure</x:v>
      </x:c>
      <x:c r="M31" s="22" t="str"/>
    </x:row>
    <x:row r="32">
      <x:c r="A32" s="22" t="str">
        <x:v>U031</x:v>
      </x:c>
      <x:c r="B32" s="22" t="str">
        <x:v>Jigar Patel</x:v>
      </x:c>
      <x:c r="C32" s="22" t="str">
        <x:v>https://www.linkedin.com/in/jigar-patel-96b4286b</x:v>
      </x:c>
      <x:c r="D32" s="22" t="str">
        <x:v>personal_profile</x:v>
      </x:c>
      <x:c r="E32" s="22" t="str">
        <x:v>no</x:v>
      </x:c>
      <x:c r="F32" s="22" t="str">
        <x:v>yes</x:v>
      </x:c>
      <x:c r="G32" s="22" t="str"/>
      <x:c r="H32" s="22" t="str"/>
      <x:c r="I32" s="22" t="str"/>
      <x:c r="J32" s="22" t="str">
        <x:v>82</x:v>
      </x:c>
      <x:c r="K32" s="22" t="str">
        <x:v>direct_scm</x:v>
      </x:c>
      <x:c r="L32" s="22" t="str">
        <x:v>repository_top100_exposure</x:v>
      </x:c>
      <x:c r="M32" s="22" t="str"/>
    </x:row>
    <x:row r="33">
      <x:c r="A33" s="22" t="str">
        <x:v>U032</x:v>
      </x:c>
      <x:c r="B33" s="22" t="str">
        <x:v>Joel Collin-Demers</x:v>
      </x:c>
      <x:c r="C33" s="22" t="str">
        <x:v>https://www.linkedin.com/in/joelcollindemers</x:v>
      </x:c>
      <x:c r="D33" s="22" t="str">
        <x:v>personal_profile</x:v>
      </x:c>
      <x:c r="E33" s="22" t="str">
        <x:v>no</x:v>
      </x:c>
      <x:c r="F33" s="22" t="str">
        <x:v>yes</x:v>
      </x:c>
      <x:c r="G33" s="22" t="str"/>
      <x:c r="H33" s="22" t="str"/>
      <x:c r="I33" s="22" t="str"/>
      <x:c r="J33" s="22" t="str">
        <x:v>90</x:v>
      </x:c>
      <x:c r="K33" s="22" t="str">
        <x:v>direct_scm</x:v>
      </x:c>
      <x:c r="L33" s="22" t="str">
        <x:v>repository_top100_exposure</x:v>
      </x:c>
      <x:c r="M33" s="22" t="str"/>
    </x:row>
    <x:row r="34">
      <x:c r="A34" s="22" t="str">
        <x:v>U033</x:v>
      </x:c>
      <x:c r="B34" s="22" t="str">
        <x:v>John Kill</x:v>
      </x:c>
      <x:c r="C34" s="22" t="str">
        <x:v>https://www.linkedin.com/in/johnckill</x:v>
      </x:c>
      <x:c r="D34" s="22" t="str">
        <x:v>personal_profile</x:v>
      </x:c>
      <x:c r="E34" s="22" t="str">
        <x:v>yes</x:v>
      </x:c>
      <x:c r="F34" s="22" t="str">
        <x:v>no</x:v>
      </x:c>
      <x:c r="G34" s="22" t="str">
        <x:v>PRC-N2</x:v>
      </x:c>
      <x:c r="H34" s="22" t="str">
        <x:v>purchasing_procurement</x:v>
      </x:c>
      <x:c r="I34" s="22" t="str">
        <x:v>near_500_5k</x:v>
      </x:c>
      <x:c r="J34" s="22" t="str"/>
      <x:c r="K34" s="22" t="str"/>
      <x:c r="L34" s="22" t="str">
        <x:v>none_recorded</x:v>
      </x:c>
      <x:c r="M34" s="22" t="str"/>
    </x:row>
    <x:row r="35">
      <x:c r="A35" s="22" t="str">
        <x:v>U034</x:v>
      </x:c>
      <x:c r="B35" s="22" t="str">
        <x:v>John Kloetzing</x:v>
      </x:c>
      <x:c r="C35" s="22" t="str">
        <x:v>https://www.linkedin.com/in/john-kloetzing</x:v>
      </x:c>
      <x:c r="D35" s="22" t="str">
        <x:v>personal_profile</x:v>
      </x:c>
      <x:c r="E35" s="22" t="str">
        <x:v>yes</x:v>
      </x:c>
      <x:c r="F35" s="22" t="str">
        <x:v>no</x:v>
      </x:c>
      <x:c r="G35" s="22" t="str">
        <x:v>PLN-N2</x:v>
      </x:c>
      <x:c r="H35" s="22" t="str">
        <x:v>planning_logistics</x:v>
      </x:c>
      <x:c r="I35" s="22" t="str">
        <x:v>near_500_5k</x:v>
      </x:c>
      <x:c r="J35" s="22" t="str"/>
      <x:c r="K35" s="22" t="str"/>
      <x:c r="L35" s="22" t="str">
        <x:v>none_recorded</x:v>
      </x:c>
      <x:c r="M35" s="22" t="str"/>
    </x:row>
    <x:row r="36">
      <x:c r="A36" s="22" t="str">
        <x:v>U035</x:v>
      </x:c>
      <x:c r="B36" s="22" t="str">
        <x:v>Jonathan Parsons</x:v>
      </x:c>
      <x:c r="C36" s="22" t="str">
        <x:v>https://www.linkedin.com/in/jonathan-parsons-marketing</x:v>
      </x:c>
      <x:c r="D36" s="22" t="str">
        <x:v>personal_profile</x:v>
      </x:c>
      <x:c r="E36" s="22" t="str">
        <x:v>no</x:v>
      </x:c>
      <x:c r="F36" s="22" t="str">
        <x:v>yes</x:v>
      </x:c>
      <x:c r="G36" s="22" t="str"/>
      <x:c r="H36" s="22" t="str"/>
      <x:c r="I36" s="22" t="str"/>
      <x:c r="J36" s="22" t="str">
        <x:v>98</x:v>
      </x:c>
      <x:c r="K36" s="22" t="str">
        <x:v>implementation_adjacent</x:v>
      </x:c>
      <x:c r="L36" s="22" t="str">
        <x:v>repository_top100_exposure</x:v>
      </x:c>
      <x:c r="M36" s="22" t="str"/>
    </x:row>
    <x:row r="37">
      <x:c r="A37" s="22" t="str">
        <x:v>U036</x:v>
      </x:c>
      <x:c r="B37" s="22" t="str">
        <x:v>Jonathon Karelse</x:v>
      </x:c>
      <x:c r="C37" s="22" t="str">
        <x:v>https://www.linkedin.com/in/jonathonkarelse</x:v>
      </x:c>
      <x:c r="D37" s="22" t="str">
        <x:v>personal_profile</x:v>
      </x:c>
      <x:c r="E37" s="22" t="str">
        <x:v>yes</x:v>
      </x:c>
      <x:c r="F37" s="22" t="str">
        <x:v>no</x:v>
      </x:c>
      <x:c r="G37" s="22" t="str">
        <x:v>PLN-E2</x:v>
      </x:c>
      <x:c r="H37" s="22" t="str">
        <x:v>planning_logistics</x:v>
      </x:c>
      <x:c r="I37" s="22" t="str">
        <x:v>emerging_1k_20k</x:v>
      </x:c>
      <x:c r="J37" s="22" t="str"/>
      <x:c r="K37" s="22" t="str"/>
      <x:c r="L37" s="22" t="str">
        <x:v>none_recorded</x:v>
      </x:c>
      <x:c r="M37" s="22" t="str"/>
    </x:row>
    <x:row r="38">
      <x:c r="A38" s="22" t="str">
        <x:v>U037</x:v>
      </x:c>
      <x:c r="B38" s="22" t="str">
        <x:v>Josh Sanders</x:v>
      </x:c>
      <x:c r="C38" s="22" t="str">
        <x:v>https://www.linkedin.com/in/joshejsanders</x:v>
      </x:c>
      <x:c r="D38" s="22" t="str">
        <x:v>personal_profile</x:v>
      </x:c>
      <x:c r="E38" s="22" t="str">
        <x:v>no</x:v>
      </x:c>
      <x:c r="F38" s="22" t="str">
        <x:v>yes</x:v>
      </x:c>
      <x:c r="G38" s="22" t="str"/>
      <x:c r="H38" s="22" t="str"/>
      <x:c r="I38" s="22" t="str"/>
      <x:c r="J38" s="22" t="str">
        <x:v>9; 42</x:v>
      </x:c>
      <x:c r="K38" s="22" t="str">
        <x:v>external_transferable</x:v>
      </x:c>
      <x:c r="L38" s="22" t="str">
        <x:v>repository_top100_exposure</x:v>
      </x:c>
      <x:c r="M38" s="22" t="str"/>
    </x:row>
    <x:row r="39">
      <x:c r="A39" s="22" t="str">
        <x:v>U038</x:v>
      </x:c>
      <x:c r="B39" s="22" t="str">
        <x:v>Katie Anderson</x:v>
      </x:c>
      <x:c r="C39" s="22" t="str">
        <x:v>https://www.linkedin.com/in/kbjanderson</x:v>
      </x:c>
      <x:c r="D39" s="22" t="str">
        <x:v>personal_profile</x:v>
      </x:c>
      <x:c r="E39" s="22" t="str">
        <x:v>yes</x:v>
      </x:c>
      <x:c r="F39" s="22" t="str">
        <x:v>no</x:v>
      </x:c>
      <x:c r="G39" s="22" t="str">
        <x:v>IMP-X4</x:v>
      </x:c>
      <x:c r="H39" s="22" t="str">
        <x:v>implementation_adjacent</x:v>
      </x:c>
      <x:c r="I39" s="22" t="str">
        <x:v>established_20k_plus</x:v>
      </x:c>
      <x:c r="J39" s="22" t="str"/>
      <x:c r="K39" s="22" t="str"/>
      <x:c r="L39" s="22" t="str">
        <x:v>none_recorded</x:v>
      </x:c>
      <x:c r="M39" s="22" t="str"/>
    </x:row>
    <x:row r="40">
      <x:c r="A40" s="22" t="str">
        <x:v>U039</x:v>
      </x:c>
      <x:c r="B40" s="22" t="str">
        <x:v>Kelly Barner</x:v>
      </x:c>
      <x:c r="C40" s="22" t="str">
        <x:v>https://www.linkedin.com/in/kelly-barner-6884443</x:v>
      </x:c>
      <x:c r="D40" s="22" t="str">
        <x:v>personal_profile</x:v>
      </x:c>
      <x:c r="E40" s="22" t="str">
        <x:v>yes</x:v>
      </x:c>
      <x:c r="F40" s="22" t="str">
        <x:v>no</x:v>
      </x:c>
      <x:c r="G40" s="22" t="str">
        <x:v>PRC-X3</x:v>
      </x:c>
      <x:c r="H40" s="22" t="str">
        <x:v>purchasing_procurement</x:v>
      </x:c>
      <x:c r="I40" s="22" t="str">
        <x:v>established_20k_plus</x:v>
      </x:c>
      <x:c r="J40" s="22" t="str"/>
      <x:c r="K40" s="22" t="str"/>
      <x:c r="L40" s="22" t="str">
        <x:v>none_recorded</x:v>
      </x:c>
      <x:c r="M40" s="22" t="str"/>
    </x:row>
    <x:row r="41">
      <x:c r="A41" s="22" t="str">
        <x:v>U040</x:v>
      </x:c>
      <x:c r="B41" s="22" t="str">
        <x:v>Knut Alicke</x:v>
      </x:c>
      <x:c r="C41" s="22" t="str">
        <x:v>https://www.linkedin.com/in/knut-alicke</x:v>
      </x:c>
      <x:c r="D41" s="22" t="str">
        <x:v>personal_profile</x:v>
      </x:c>
      <x:c r="E41" s="22" t="str">
        <x:v>yes</x:v>
      </x:c>
      <x:c r="F41" s="22" t="str">
        <x:v>no</x:v>
      </x:c>
      <x:c r="G41" s="22" t="str">
        <x:v>PLN-E1</x:v>
      </x:c>
      <x:c r="H41" s="22" t="str">
        <x:v>planning_logistics</x:v>
      </x:c>
      <x:c r="I41" s="22" t="str">
        <x:v>emerging_1k_20k</x:v>
      </x:c>
      <x:c r="J41" s="22" t="str"/>
      <x:c r="K41" s="22" t="str"/>
      <x:c r="L41" s="22" t="str">
        <x:v>repository_benchmark</x:v>
      </x:c>
      <x:c r="M41" s="22" t="str"/>
    </x:row>
    <x:row r="42">
      <x:c r="A42" s="22" t="str">
        <x:v>U041</x:v>
      </x:c>
      <x:c r="B42" s="22" t="str">
        <x:v>Korina Mercado</x:v>
      </x:c>
      <x:c r="C42" s="22" t="str">
        <x:v>https://www.linkedin.com/in/mercadokorina</x:v>
      </x:c>
      <x:c r="D42" s="22" t="str">
        <x:v>personal_profile</x:v>
      </x:c>
      <x:c r="E42" s="22" t="str">
        <x:v>no</x:v>
      </x:c>
      <x:c r="F42" s="22" t="str">
        <x:v>yes</x:v>
      </x:c>
      <x:c r="G42" s="22" t="str"/>
      <x:c r="H42" s="22" t="str"/>
      <x:c r="I42" s="22" t="str"/>
      <x:c r="J42" s="22" t="str">
        <x:v>47</x:v>
      </x:c>
      <x:c r="K42" s="22" t="str">
        <x:v>implementation_adjacent</x:v>
      </x:c>
      <x:c r="L42" s="22" t="str">
        <x:v>repository_top100_exposure</x:v>
      </x:c>
      <x:c r="M42" s="22" t="str"/>
    </x:row>
    <x:row r="43">
      <x:c r="A43" s="22" t="str">
        <x:v>U042</x:v>
      </x:c>
      <x:c r="B43" s="22" t="str">
        <x:v>Lara Acosta</x:v>
      </x:c>
      <x:c r="C43" s="22" t="str">
        <x:v>https://www.linkedin.com/in/laraacostar</x:v>
      </x:c>
      <x:c r="D43" s="22" t="str">
        <x:v>personal_profile</x:v>
      </x:c>
      <x:c r="E43" s="22" t="str">
        <x:v>no</x:v>
      </x:c>
      <x:c r="F43" s="22" t="str">
        <x:v>yes</x:v>
      </x:c>
      <x:c r="G43" s="22" t="str"/>
      <x:c r="H43" s="22" t="str"/>
      <x:c r="I43" s="22" t="str"/>
      <x:c r="J43" s="22" t="str">
        <x:v>88</x:v>
      </x:c>
      <x:c r="K43" s="22" t="str">
        <x:v>external_transferable</x:v>
      </x:c>
      <x:c r="L43" s="22" t="str">
        <x:v>repository_top100_exposure</x:v>
      </x:c>
      <x:c r="M43" s="22" t="str"/>
    </x:row>
    <x:row r="44">
      <x:c r="A44" s="22" t="str">
        <x:v>U043</x:v>
      </x:c>
      <x:c r="B44" s="22" t="str">
        <x:v>Leila Gharani</x:v>
      </x:c>
      <x:c r="C44" s="22" t="str">
        <x:v>https://www.linkedin.com/in/leilagharani</x:v>
      </x:c>
      <x:c r="D44" s="22" t="str">
        <x:v>personal_profile</x:v>
      </x:c>
      <x:c r="E44" s="22" t="str">
        <x:v>yes</x:v>
      </x:c>
      <x:c r="F44" s="22" t="str">
        <x:v>no</x:v>
      </x:c>
      <x:c r="G44" s="22" t="str">
        <x:v>IMP-X1</x:v>
      </x:c>
      <x:c r="H44" s="22" t="str">
        <x:v>implementation_adjacent</x:v>
      </x:c>
      <x:c r="I44" s="22" t="str">
        <x:v>established_20k_plus</x:v>
      </x:c>
      <x:c r="J44" s="22" t="str"/>
      <x:c r="K44" s="22" t="str"/>
      <x:c r="L44" s="22" t="str">
        <x:v>none_recorded</x:v>
      </x:c>
      <x:c r="M44" s="22" t="str"/>
    </x:row>
    <x:row r="45">
      <x:c r="A45" s="22" t="str">
        <x:v>U044</x:v>
      </x:c>
      <x:c r="B45" s="22" t="str">
        <x:v>Lisa Crosbie</x:v>
      </x:c>
      <x:c r="C45" s="22" t="str">
        <x:v>https://www.linkedin.com/in/lisa-crosbie</x:v>
      </x:c>
      <x:c r="D45" s="22" t="str">
        <x:v>personal_profile</x:v>
      </x:c>
      <x:c r="E45" s="22" t="str">
        <x:v>yes</x:v>
      </x:c>
      <x:c r="F45" s="22" t="str">
        <x:v>no</x:v>
      </x:c>
      <x:c r="G45" s="22" t="str">
        <x:v>IMP-X3</x:v>
      </x:c>
      <x:c r="H45" s="22" t="str">
        <x:v>implementation_adjacent</x:v>
      </x:c>
      <x:c r="I45" s="22" t="str">
        <x:v>established_20k_plus</x:v>
      </x:c>
      <x:c r="J45" s="22" t="str"/>
      <x:c r="K45" s="22" t="str"/>
      <x:c r="L45" s="22" t="str">
        <x:v>none_recorded</x:v>
      </x:c>
      <x:c r="M45" s="22" t="str"/>
    </x:row>
    <x:row r="46">
      <x:c r="A46" s="22" t="str">
        <x:v>U045</x:v>
      </x:c>
      <x:c r="B46" s="22" t="str">
        <x:v>Logistics Guide</x:v>
      </x:c>
      <x:c r="C46" s="22" t="str">
        <x:v>https://www.linkedin.com/company/logistics-guide-2a9652167</x:v>
      </x:c>
      <x:c r="D46" s="22" t="str">
        <x:v>company_page</x:v>
      </x:c>
      <x:c r="E46" s="22" t="str">
        <x:v>no</x:v>
      </x:c>
      <x:c r="F46" s="22" t="str">
        <x:v>yes</x:v>
      </x:c>
      <x:c r="G46" s="22" t="str"/>
      <x:c r="H46" s="22" t="str"/>
      <x:c r="I46" s="22" t="str"/>
      <x:c r="J46" s="22" t="str">
        <x:v>99</x:v>
      </x:c>
      <x:c r="K46" s="22" t="str">
        <x:v>direct_scm</x:v>
      </x:c>
      <x:c r="L46" s="22" t="str">
        <x:v>repository_top100_exposure</x:v>
      </x:c>
      <x:c r="M46" s="22" t="str"/>
    </x:row>
    <x:row r="47">
      <x:c r="A47" s="22" t="str">
        <x:v>U046</x:v>
      </x:c>
      <x:c r="B47" s="22" t="str">
        <x:v>Lora Cecere</x:v>
      </x:c>
      <x:c r="C47" s="22" t="str">
        <x:v>https://www.linkedin.com/in/loracecere</x:v>
      </x:c>
      <x:c r="D47" s="22" t="str">
        <x:v>personal_profile</x:v>
      </x:c>
      <x:c r="E47" s="22" t="str">
        <x:v>yes</x:v>
      </x:c>
      <x:c r="F47" s="22" t="str">
        <x:v>no</x:v>
      </x:c>
      <x:c r="G47" s="22" t="str">
        <x:v>PLN-X1</x:v>
      </x:c>
      <x:c r="H47" s="22" t="str">
        <x:v>planning_logistics</x:v>
      </x:c>
      <x:c r="I47" s="22" t="str">
        <x:v>established_20k_plus</x:v>
      </x:c>
      <x:c r="J47" s="22" t="str"/>
      <x:c r="K47" s="22" t="str"/>
      <x:c r="L47" s="22" t="str">
        <x:v>repository_benchmark</x:v>
      </x:c>
      <x:c r="M47" s="22" t="str"/>
    </x:row>
    <x:row r="48">
      <x:c r="A48" s="22" t="str">
        <x:v>U047</x:v>
      </x:c>
      <x:c r="B48" s="22" t="str">
        <x:v>Magali De Reu</x:v>
      </x:c>
      <x:c r="C48" s="22" t="str">
        <x:v>https://www.linkedin.com/in/magalidereu</x:v>
      </x:c>
      <x:c r="D48" s="22" t="str">
        <x:v>personal_profile</x:v>
      </x:c>
      <x:c r="E48" s="22" t="str">
        <x:v>no</x:v>
      </x:c>
      <x:c r="F48" s="22" t="str">
        <x:v>yes</x:v>
      </x:c>
      <x:c r="G48" s="22" t="str"/>
      <x:c r="H48" s="22" t="str"/>
      <x:c r="I48" s="22" t="str"/>
      <x:c r="J48" s="22" t="str">
        <x:v>27</x:v>
      </x:c>
      <x:c r="K48" s="22" t="str">
        <x:v>external_transferable</x:v>
      </x:c>
      <x:c r="L48" s="22" t="str">
        <x:v>repository_top100_exposure</x:v>
      </x:c>
      <x:c r="M48" s="22" t="str"/>
    </x:row>
    <x:row r="49">
      <x:c r="A49" s="22" t="str">
        <x:v>U048</x:v>
      </x:c>
      <x:c r="B49" s="22" t="str">
        <x:v>Marcia D Williams</x:v>
      </x:c>
      <x:c r="C49" s="22" t="str">
        <x:v>https://www.linkedin.com/in/marciadwilliams</x:v>
      </x:c>
      <x:c r="D49" s="22" t="str">
        <x:v>personal_profile</x:v>
      </x:c>
      <x:c r="E49" s="22" t="str">
        <x:v>no</x:v>
      </x:c>
      <x:c r="F49" s="22" t="str">
        <x:v>yes</x:v>
      </x:c>
      <x:c r="G49" s="22" t="str"/>
      <x:c r="H49" s="22" t="str"/>
      <x:c r="I49" s="22" t="str"/>
      <x:c r="J49" s="22" t="str">
        <x:v>33; 94</x:v>
      </x:c>
      <x:c r="K49" s="22" t="str">
        <x:v>direct_scm</x:v>
      </x:c>
      <x:c r="L49" s="22" t="str">
        <x:v>repository_top100_exposure</x:v>
      </x:c>
      <x:c r="M49" s="22" t="str"/>
    </x:row>
    <x:row r="50">
      <x:c r="A50" s="22" t="str">
        <x:v>U049</x:v>
      </x:c>
      <x:c r="B50" s="22" t="str">
        <x:v>Marek Dabrowski</x:v>
      </x:c>
      <x:c r="C50" s="22" t="str">
        <x:v>https://www.linkedin.com/in/marek-dabrowski-8a502370</x:v>
      </x:c>
      <x:c r="D50" s="22" t="str">
        <x:v>personal_profile</x:v>
      </x:c>
      <x:c r="E50" s="22" t="str">
        <x:v>no</x:v>
      </x:c>
      <x:c r="F50" s="22" t="str">
        <x:v>yes</x:v>
      </x:c>
      <x:c r="G50" s="22" t="str"/>
      <x:c r="H50" s="22" t="str"/>
      <x:c r="I50" s="22" t="str"/>
      <x:c r="J50" s="22" t="str">
        <x:v>26</x:v>
      </x:c>
      <x:c r="K50" s="22" t="str">
        <x:v>implementation_adjacent</x:v>
      </x:c>
      <x:c r="L50" s="22" t="str">
        <x:v>repository_top100_exposure</x:v>
      </x:c>
      <x:c r="M50" s="22" t="str"/>
    </x:row>
    <x:row r="51">
      <x:c r="A51" s="22" t="str">
        <x:v>U050</x:v>
      </x:c>
      <x:c r="B51" s="22" t="str">
        <x:v>Mary Kate Kloeblen</x:v>
      </x:c>
      <x:c r="C51" s="22" t="str">
        <x:v>https://www.linkedin.com/in/mary-kate-kloeblen-16052225</x:v>
      </x:c>
      <x:c r="D51" s="22" t="str">
        <x:v>personal_profile</x:v>
      </x:c>
      <x:c r="E51" s="22" t="str">
        <x:v>yes</x:v>
      </x:c>
      <x:c r="F51" s="22" t="str">
        <x:v>no</x:v>
      </x:c>
      <x:c r="G51" s="22" t="str">
        <x:v>PLN-N1</x:v>
      </x:c>
      <x:c r="H51" s="22" t="str">
        <x:v>planning_logistics</x:v>
      </x:c>
      <x:c r="I51" s="22" t="str">
        <x:v>near_500_5k</x:v>
      </x:c>
      <x:c r="J51" s="22" t="str"/>
      <x:c r="K51" s="22" t="str"/>
      <x:c r="L51" s="22" t="str">
        <x:v>none_recorded</x:v>
      </x:c>
      <x:c r="M51" s="22" t="str"/>
    </x:row>
    <x:row r="52">
      <x:c r="A52" s="22" t="str">
        <x:v>U051</x:v>
      </x:c>
      <x:c r="B52" s="22" t="str">
        <x:v>Mayank Pandey</x:v>
      </x:c>
      <x:c r="C52" s="22" t="str">
        <x:v>https://www.linkedin.com/in/mayank-pandey-56359295</x:v>
      </x:c>
      <x:c r="D52" s="22" t="str">
        <x:v>personal_profile</x:v>
      </x:c>
      <x:c r="E52" s="22" t="str">
        <x:v>no</x:v>
      </x:c>
      <x:c r="F52" s="22" t="str">
        <x:v>yes</x:v>
      </x:c>
      <x:c r="G52" s="22" t="str"/>
      <x:c r="H52" s="22" t="str"/>
      <x:c r="I52" s="22" t="str"/>
      <x:c r="J52" s="22" t="str">
        <x:v>46</x:v>
      </x:c>
      <x:c r="K52" s="22" t="str">
        <x:v>direct_scm</x:v>
      </x:c>
      <x:c r="L52" s="22" t="str">
        <x:v>repository_top100_exposure</x:v>
      </x:c>
      <x:c r="M52" s="22" t="str"/>
    </x:row>
    <x:row r="53">
      <x:c r="A53" s="22" t="str">
        <x:v>U052</x:v>
      </x:c>
      <x:c r="B53" s="22" t="str">
        <x:v>Mischa Collins</x:v>
      </x:c>
      <x:c r="C53" s="22" t="str">
        <x:v>https://www.linkedin.com/in/mischa-collins</x:v>
      </x:c>
      <x:c r="D53" s="22" t="str">
        <x:v>personal_profile</x:v>
      </x:c>
      <x:c r="E53" s="22" t="str">
        <x:v>no</x:v>
      </x:c>
      <x:c r="F53" s="22" t="str">
        <x:v>yes</x:v>
      </x:c>
      <x:c r="G53" s="22" t="str"/>
      <x:c r="H53" s="22" t="str"/>
      <x:c r="I53" s="22" t="str"/>
      <x:c r="J53" s="22" t="str">
        <x:v>10; 16; 45</x:v>
      </x:c>
      <x:c r="K53" s="22" t="str">
        <x:v>external_transferable</x:v>
      </x:c>
      <x:c r="L53" s="22" t="str">
        <x:v>repository_top100_exposure</x:v>
      </x:c>
      <x:c r="M53" s="22" t="str"/>
    </x:row>
    <x:row r="54">
      <x:c r="A54" s="22" t="str">
        <x:v>U053</x:v>
      </x:c>
      <x:c r="B54" s="22" t="str">
        <x:v>MJ Jaindl</x:v>
      </x:c>
      <x:c r="C54" s="22" t="str">
        <x:v>https://www.linkedin.com/in/jaindl</x:v>
      </x:c>
      <x:c r="D54" s="22" t="str">
        <x:v>personal_profile</x:v>
      </x:c>
      <x:c r="E54" s="22" t="str">
        <x:v>no</x:v>
      </x:c>
      <x:c r="F54" s="22" t="str">
        <x:v>yes</x:v>
      </x:c>
      <x:c r="G54" s="22" t="str"/>
      <x:c r="H54" s="22" t="str"/>
      <x:c r="I54" s="22" t="str"/>
      <x:c r="J54" s="22" t="str">
        <x:v>50; 57; 75</x:v>
      </x:c>
      <x:c r="K54" s="22" t="str">
        <x:v>external_transferable</x:v>
      </x:c>
      <x:c r="L54" s="22" t="str">
        <x:v>repository_top100_exposure</x:v>
      </x:c>
      <x:c r="M54" s="22" t="str"/>
    </x:row>
    <x:row r="55">
      <x:c r="A55" s="22" t="str">
        <x:v>U054</x:v>
      </x:c>
      <x:c r="B55" s="22" t="str">
        <x:v>Nicolas Cole</x:v>
      </x:c>
      <x:c r="C55" s="22" t="str">
        <x:v>https://www.linkedin.com/in/nicolascole</x:v>
      </x:c>
      <x:c r="D55" s="22" t="str">
        <x:v>personal_profile</x:v>
      </x:c>
      <x:c r="E55" s="22" t="str">
        <x:v>no</x:v>
      </x:c>
      <x:c r="F55" s="22" t="str">
        <x:v>yes</x:v>
      </x:c>
      <x:c r="G55" s="22" t="str"/>
      <x:c r="H55" s="22" t="str"/>
      <x:c r="I55" s="22" t="str"/>
      <x:c r="J55" s="22" t="str">
        <x:v>4; 60; 62; 93</x:v>
      </x:c>
      <x:c r="K55" s="22" t="str">
        <x:v>external_transferable</x:v>
      </x:c>
      <x:c r="L55" s="22" t="str">
        <x:v>repository_top100_exposure</x:v>
      </x:c>
      <x:c r="M55" s="22" t="str"/>
    </x:row>
    <x:row r="56">
      <x:c r="A56" s="22" t="str">
        <x:v>U055</x:v>
      </x:c>
      <x:c r="B56" s="22" t="str">
        <x:v>Nicolas Vandeput</x:v>
      </x:c>
      <x:c r="C56" s="22" t="str">
        <x:v>https://www.linkedin.com/in/vandeputnicolas</x:v>
      </x:c>
      <x:c r="D56" s="22" t="str">
        <x:v>personal_profile</x:v>
      </x:c>
      <x:c r="E56" s="22" t="str">
        <x:v>no</x:v>
      </x:c>
      <x:c r="F56" s="22" t="str">
        <x:v>yes</x:v>
      </x:c>
      <x:c r="G56" s="22" t="str"/>
      <x:c r="H56" s="22" t="str"/>
      <x:c r="I56" s="22" t="str"/>
      <x:c r="J56" s="22" t="str">
        <x:v>59</x:v>
      </x:c>
      <x:c r="K56" s="22" t="str">
        <x:v>direct_scm</x:v>
      </x:c>
      <x:c r="L56" s="22" t="str">
        <x:v>repository_top100_exposure</x:v>
      </x:c>
      <x:c r="M56" s="22" t="str"/>
    </x:row>
    <x:row r="57">
      <x:c r="A57" s="22" t="str">
        <x:v>U056</x:v>
      </x:c>
      <x:c r="B57" s="22" t="str">
        <x:v>Niels Van Hove</x:v>
      </x:c>
      <x:c r="C57" s="22" t="str">
        <x:v>https://www.linkedin.com/in/nielsvh</x:v>
      </x:c>
      <x:c r="D57" s="22" t="str">
        <x:v>personal_profile</x:v>
      </x:c>
      <x:c r="E57" s="22" t="str">
        <x:v>yes</x:v>
      </x:c>
      <x:c r="F57" s="22" t="str">
        <x:v>no</x:v>
      </x:c>
      <x:c r="G57" s="22" t="str">
        <x:v>PLN-E4</x:v>
      </x:c>
      <x:c r="H57" s="22" t="str">
        <x:v>planning_logistics</x:v>
      </x:c>
      <x:c r="I57" s="22" t="str">
        <x:v>emerging_1k_20k</x:v>
      </x:c>
      <x:c r="J57" s="22" t="str"/>
      <x:c r="K57" s="22" t="str"/>
      <x:c r="L57" s="22" t="str">
        <x:v>none_recorded</x:v>
      </x:c>
      <x:c r="M57" s="22" t="str"/>
    </x:row>
    <x:row r="58">
      <x:c r="A58" s="22" t="str">
        <x:v>U057</x:v>
      </x:c>
      <x:c r="B58" s="22" t="str">
        <x:v>Nikhil Tripathi</x:v>
      </x:c>
      <x:c r="C58" s="22" t="str">
        <x:v>https://www.linkedin.com/in/tripathinikhil</x:v>
      </x:c>
      <x:c r="D58" s="22" t="str">
        <x:v>personal_profile</x:v>
      </x:c>
      <x:c r="E58" s="22" t="str">
        <x:v>yes</x:v>
      </x:c>
      <x:c r="F58" s="22" t="str">
        <x:v>no</x:v>
      </x:c>
      <x:c r="G58" s="22" t="str">
        <x:v>PRC-N1</x:v>
      </x:c>
      <x:c r="H58" s="22" t="str">
        <x:v>purchasing_procurement</x:v>
      </x:c>
      <x:c r="I58" s="22" t="str">
        <x:v>near_500_5k</x:v>
      </x:c>
      <x:c r="J58" s="22" t="str"/>
      <x:c r="K58" s="22" t="str"/>
      <x:c r="L58" s="22" t="str">
        <x:v>none_recorded</x:v>
      </x:c>
      <x:c r="M58" s="22" t="str"/>
    </x:row>
    <x:row r="59">
      <x:c r="A59" s="22" t="str">
        <x:v>U058</x:v>
      </x:c>
      <x:c r="B59" s="22" t="str">
        <x:v>Niranjan Kulkarni</x:v>
      </x:c>
      <x:c r="C59" s="22" t="str">
        <x:v>https://www.linkedin.com/in/niranjan-kulkarni-pk</x:v>
      </x:c>
      <x:c r="D59" s="22" t="str">
        <x:v>personal_profile</x:v>
      </x:c>
      <x:c r="E59" s="22" t="str">
        <x:v>yes</x:v>
      </x:c>
      <x:c r="F59" s="22" t="str">
        <x:v>no</x:v>
      </x:c>
      <x:c r="G59" s="22" t="str">
        <x:v>IMP-N2</x:v>
      </x:c>
      <x:c r="H59" s="22" t="str">
        <x:v>implementation_adjacent</x:v>
      </x:c>
      <x:c r="I59" s="22" t="str">
        <x:v>near_500_5k</x:v>
      </x:c>
      <x:c r="J59" s="22" t="str"/>
      <x:c r="K59" s="22" t="str"/>
      <x:c r="L59" s="22" t="str">
        <x:v>none_recorded</x:v>
      </x:c>
      <x:c r="M59" s="22" t="str"/>
    </x:row>
    <x:row r="60">
      <x:c r="A60" s="22" t="str">
        <x:v>U059</x:v>
      </x:c>
      <x:c r="B60" s="22" t="str">
        <x:v>Onesphore RAKOTOMALALA</x:v>
      </x:c>
      <x:c r="C60" s="22" t="str">
        <x:v>https://www.linkedin.com/in/onesphore-rkt</x:v>
      </x:c>
      <x:c r="D60" s="22" t="str">
        <x:v>personal_profile</x:v>
      </x:c>
      <x:c r="E60" s="22" t="str">
        <x:v>no</x:v>
      </x:c>
      <x:c r="F60" s="22" t="str">
        <x:v>yes</x:v>
      </x:c>
      <x:c r="G60" s="22" t="str"/>
      <x:c r="H60" s="22" t="str"/>
      <x:c r="I60" s="22" t="str"/>
      <x:c r="J60" s="22" t="str">
        <x:v>73; 74; 81</x:v>
      </x:c>
      <x:c r="K60" s="22" t="str">
        <x:v>direct_scm</x:v>
      </x:c>
      <x:c r="L60" s="22" t="str">
        <x:v>repository_top100_exposure</x:v>
      </x:c>
      <x:c r="M60" s="22" t="str"/>
    </x:row>
    <x:row r="61">
      <x:c r="A61" s="22" t="str">
        <x:v>U060</x:v>
      </x:c>
      <x:c r="B61" s="22" t="str">
        <x:v>Philip Ideson</x:v>
      </x:c>
      <x:c r="C61" s="22" t="str">
        <x:v>https://www.linkedin.com/in/philipideson</x:v>
      </x:c>
      <x:c r="D61" s="22" t="str">
        <x:v>personal_profile</x:v>
      </x:c>
      <x:c r="E61" s="22" t="str">
        <x:v>yes</x:v>
      </x:c>
      <x:c r="F61" s="22" t="str">
        <x:v>no</x:v>
      </x:c>
      <x:c r="G61" s="22" t="str">
        <x:v>PRC-E1</x:v>
      </x:c>
      <x:c r="H61" s="22" t="str">
        <x:v>purchasing_procurement</x:v>
      </x:c>
      <x:c r="I61" s="22" t="str">
        <x:v>emerging_1k_20k</x:v>
      </x:c>
      <x:c r="J61" s="22" t="str"/>
      <x:c r="K61" s="22" t="str"/>
      <x:c r="L61" s="22" t="str">
        <x:v>none_recorded</x:v>
      </x:c>
      <x:c r="M61" s="22" t="str"/>
    </x:row>
    <x:row r="62">
      <x:c r="A62" s="22" t="str">
        <x:v>U061</x:v>
      </x:c>
      <x:c r="B62" s="22" t="str">
        <x:v>Rachel Woods</x:v>
      </x:c>
      <x:c r="C62" s="22" t="str">
        <x:v>https://www.linkedin.com/in/woodsrach</x:v>
      </x:c>
      <x:c r="D62" s="22" t="str">
        <x:v>personal_profile</x:v>
      </x:c>
      <x:c r="E62" s="22" t="str">
        <x:v>yes</x:v>
      </x:c>
      <x:c r="F62" s="22" t="str">
        <x:v>no</x:v>
      </x:c>
      <x:c r="G62" s="22" t="str">
        <x:v>IMP-X2</x:v>
      </x:c>
      <x:c r="H62" s="22" t="str">
        <x:v>implementation_adjacent</x:v>
      </x:c>
      <x:c r="I62" s="22" t="str">
        <x:v>established_20k_plus</x:v>
      </x:c>
      <x:c r="J62" s="22" t="str"/>
      <x:c r="K62" s="22" t="str"/>
      <x:c r="L62" s="22" t="str">
        <x:v>none_recorded</x:v>
      </x:c>
      <x:c r="M62" s="22" t="str"/>
    </x:row>
    <x:row r="63">
      <x:c r="A63" s="22" t="str">
        <x:v>U062</x:v>
      </x:c>
      <x:c r="B63" s="22" t="str">
        <x:v>Richard van der Blom</x:v>
      </x:c>
      <x:c r="C63" s="22" t="str">
        <x:v>https://www.linkedin.com/in/richardvanderblom</x:v>
      </x:c>
      <x:c r="D63" s="22" t="str">
        <x:v>personal_profile</x:v>
      </x:c>
      <x:c r="E63" s="22" t="str">
        <x:v>no</x:v>
      </x:c>
      <x:c r="F63" s="22" t="str">
        <x:v>yes</x:v>
      </x:c>
      <x:c r="G63" s="22" t="str"/>
      <x:c r="H63" s="22" t="str"/>
      <x:c r="I63" s="22" t="str"/>
      <x:c r="J63" s="22" t="str">
        <x:v>43</x:v>
      </x:c>
      <x:c r="K63" s="22" t="str">
        <x:v>external_transferable</x:v>
      </x:c>
      <x:c r="L63" s="22" t="str">
        <x:v>repository_top100_exposure</x:v>
      </x:c>
      <x:c r="M63" s="22" t="str"/>
    </x:row>
    <x:row r="64">
      <x:c r="A64" s="22" t="str">
        <x:v>U063</x:v>
      </x:c>
      <x:c r="B64" s="22" t="str">
        <x:v>Ronalin L</x:v>
      </x:c>
      <x:c r="C64" s="22" t="str">
        <x:v>https://www.linkedin.com/in/ronalinlagsa</x:v>
      </x:c>
      <x:c r="D64" s="22" t="str">
        <x:v>personal_profile</x:v>
      </x:c>
      <x:c r="E64" s="22" t="str">
        <x:v>no</x:v>
      </x:c>
      <x:c r="F64" s="22" t="str">
        <x:v>yes</x:v>
      </x:c>
      <x:c r="G64" s="22" t="str"/>
      <x:c r="H64" s="22" t="str"/>
      <x:c r="I64" s="22" t="str"/>
      <x:c r="J64" s="22" t="str">
        <x:v>89</x:v>
      </x:c>
      <x:c r="K64" s="22" t="str">
        <x:v>direct_scm</x:v>
      </x:c>
      <x:c r="L64" s="22" t="str">
        <x:v>repository_top100_exposure</x:v>
      </x:c>
      <x:c r="M64" s="22" t="str"/>
    </x:row>
    <x:row r="65">
      <x:c r="A65" s="22" t="str">
        <x:v>U064</x:v>
      </x:c>
      <x:c r="B65" s="22" t="str">
        <x:v>Ruben Hassid</x:v>
      </x:c>
      <x:c r="C65" s="22" t="str">
        <x:v>https://www.linkedin.com/in/ruben-hassid</x:v>
      </x:c>
      <x:c r="D65" s="22" t="str">
        <x:v>personal_profile</x:v>
      </x:c>
      <x:c r="E65" s="22" t="str">
        <x:v>no</x:v>
      </x:c>
      <x:c r="F65" s="22" t="str">
        <x:v>yes</x:v>
      </x:c>
      <x:c r="G65" s="22" t="str"/>
      <x:c r="H65" s="22" t="str"/>
      <x:c r="I65" s="22" t="str"/>
      <x:c r="J65" s="22" t="str">
        <x:v>61; 91</x:v>
      </x:c>
      <x:c r="K65" s="22" t="str">
        <x:v>implementation_adjacent</x:v>
      </x:c>
      <x:c r="L65" s="22" t="str">
        <x:v>repository_top100_exposure</x:v>
      </x:c>
      <x:c r="M65" s="22" t="str"/>
    </x:row>
    <x:row r="66">
      <x:c r="A66" s="22" t="str">
        <x:v>U065</x:v>
      </x:c>
      <x:c r="B66" s="22" t="str">
        <x:v>Sammeli Sammalkorpi</x:v>
      </x:c>
      <x:c r="C66" s="22" t="str">
        <x:v>https://www.linkedin.com/in/sammeli-sammalkorpi</x:v>
      </x:c>
      <x:c r="D66" s="22" t="str">
        <x:v>personal_profile</x:v>
      </x:c>
      <x:c r="E66" s="22" t="str">
        <x:v>yes</x:v>
      </x:c>
      <x:c r="F66" s="22" t="str">
        <x:v>no</x:v>
      </x:c>
      <x:c r="G66" s="22" t="str">
        <x:v>PRC-E2</x:v>
      </x:c>
      <x:c r="H66" s="22" t="str">
        <x:v>purchasing_procurement</x:v>
      </x:c>
      <x:c r="I66" s="22" t="str">
        <x:v>emerging_1k_20k</x:v>
      </x:c>
      <x:c r="J66" s="22" t="str"/>
      <x:c r="K66" s="22" t="str"/>
      <x:c r="L66" s="22" t="str">
        <x:v>none_recorded</x:v>
      </x:c>
      <x:c r="M66" s="22" t="str"/>
    </x:row>
    <x:row r="67">
      <x:c r="A67" s="22" t="str">
        <x:v>U066</x:v>
      </x:c>
      <x:c r="B67" s="22" t="str">
        <x:v>Sarah Barnes-Humphrey</x:v>
      </x:c>
      <x:c r="C67" s="22" t="str">
        <x:v>https://www.linkedin.com/in/sarahbarneshumphrey</x:v>
      </x:c>
      <x:c r="D67" s="22" t="str">
        <x:v>personal_profile</x:v>
      </x:c>
      <x:c r="E67" s="22" t="str">
        <x:v>yes</x:v>
      </x:c>
      <x:c r="F67" s="22" t="str">
        <x:v>no</x:v>
      </x:c>
      <x:c r="G67" s="22" t="str">
        <x:v>PLN-X3</x:v>
      </x:c>
      <x:c r="H67" s="22" t="str">
        <x:v>planning_logistics</x:v>
      </x:c>
      <x:c r="I67" s="22" t="str">
        <x:v>established_20k_plus</x:v>
      </x:c>
      <x:c r="J67" s="22" t="str"/>
      <x:c r="K67" s="22" t="str"/>
      <x:c r="L67" s="22" t="str">
        <x:v>repository_benchmark</x:v>
      </x:c>
      <x:c r="M67" s="22" t="str"/>
    </x:row>
    <x:row r="68">
      <x:c r="A68" s="22" t="str">
        <x:v>U067</x:v>
      </x:c>
      <x:c r="B68" s="22" t="str">
        <x:v>Sarah Hurzeler</x:v>
      </x:c>
      <x:c r="C68" s="22" t="str">
        <x:v>https://www.linkedin.com/in/sarah-hurzeler</x:v>
      </x:c>
      <x:c r="D68" s="22" t="str">
        <x:v>personal_profile</x:v>
      </x:c>
      <x:c r="E68" s="22" t="str">
        <x:v>no</x:v>
      </x:c>
      <x:c r="F68" s="22" t="str">
        <x:v>yes</x:v>
      </x:c>
      <x:c r="G68" s="22" t="str"/>
      <x:c r="H68" s="22" t="str"/>
      <x:c r="I68" s="22" t="str"/>
      <x:c r="J68" s="22" t="str">
        <x:v>13</x:v>
      </x:c>
      <x:c r="K68" s="22" t="str">
        <x:v>direct_scm</x:v>
      </x:c>
      <x:c r="L68" s="22" t="str">
        <x:v>repository_top100_exposure</x:v>
      </x:c>
      <x:c r="M68" s="22" t="str"/>
    </x:row>
    <x:row r="69">
      <x:c r="A69" s="22" t="str">
        <x:v>U068</x:v>
      </x:c>
      <x:c r="B69" s="22" t="str">
        <x:v>Sean Conerly</x:v>
      </x:c>
      <x:c r="C69" s="22" t="str">
        <x:v>https://www.linkedin.com/in/sean-conerly-49063054</x:v>
      </x:c>
      <x:c r="D69" s="22" t="str">
        <x:v>personal_profile</x:v>
      </x:c>
      <x:c r="E69" s="22" t="str">
        <x:v>yes</x:v>
      </x:c>
      <x:c r="F69" s="22" t="str">
        <x:v>no</x:v>
      </x:c>
      <x:c r="G69" s="22" t="str">
        <x:v>IMP-E2</x:v>
      </x:c>
      <x:c r="H69" s="22" t="str">
        <x:v>implementation_adjacent</x:v>
      </x:c>
      <x:c r="I69" s="22" t="str">
        <x:v>emerging_1k_20k</x:v>
      </x:c>
      <x:c r="J69" s="22" t="str"/>
      <x:c r="K69" s="22" t="str"/>
      <x:c r="L69" s="22" t="str">
        <x:v>none_recorded</x:v>
      </x:c>
      <x:c r="M69" s="22" t="str"/>
    </x:row>
    <x:row r="70">
      <x:c r="A70" s="22" t="str">
        <x:v>U069</x:v>
      </x:c>
      <x:c r="B70" s="22" t="str">
        <x:v>Sig Copple</x:v>
      </x:c>
      <x:c r="C70" s="22" t="str">
        <x:v>https://www.linkedin.com/in/sigcopple</x:v>
      </x:c>
      <x:c r="D70" s="22" t="str">
        <x:v>personal_profile</x:v>
      </x:c>
      <x:c r="E70" s="22" t="str">
        <x:v>yes</x:v>
      </x:c>
      <x:c r="F70" s="22" t="str">
        <x:v>no</x:v>
      </x:c>
      <x:c r="G70" s="22" t="str">
        <x:v>PLN-E3</x:v>
      </x:c>
      <x:c r="H70" s="22" t="str">
        <x:v>planning_logistics</x:v>
      </x:c>
      <x:c r="I70" s="22" t="str">
        <x:v>emerging_1k_20k</x:v>
      </x:c>
      <x:c r="J70" s="22" t="str"/>
      <x:c r="K70" s="22" t="str"/>
      <x:c r="L70" s="22" t="str">
        <x:v>none_recorded</x:v>
      </x:c>
      <x:c r="M70" s="22" t="str"/>
    </x:row>
    <x:row r="71">
      <x:c r="A71" s="22" t="str">
        <x:v>U070</x:v>
      </x:c>
      <x:c r="B71" s="22" t="str">
        <x:v>Sigi Osagie</x:v>
      </x:c>
      <x:c r="C71" s="22" t="str">
        <x:v>https://www.linkedin.com/in/sigiosagie</x:v>
      </x:c>
      <x:c r="D71" s="22" t="str">
        <x:v>personal_profile</x:v>
      </x:c>
      <x:c r="E71" s="22" t="str">
        <x:v>yes</x:v>
      </x:c>
      <x:c r="F71" s="22" t="str">
        <x:v>no</x:v>
      </x:c>
      <x:c r="G71" s="22" t="str">
        <x:v>PRC-E3</x:v>
      </x:c>
      <x:c r="H71" s="22" t="str">
        <x:v>purchasing_procurement</x:v>
      </x:c>
      <x:c r="I71" s="22" t="str">
        <x:v>emerging_1k_20k</x:v>
      </x:c>
      <x:c r="J71" s="22" t="str"/>
      <x:c r="K71" s="22" t="str"/>
      <x:c r="L71" s="22" t="str">
        <x:v>none_recorded</x:v>
      </x:c>
      <x:c r="M71" s="22" t="str"/>
    </x:row>
    <x:row r="72">
      <x:c r="A72" s="22" t="str">
        <x:v>U071</x:v>
      </x:c>
      <x:c r="B72" s="22" t="str">
        <x:v>Stanley</x:v>
      </x:c>
      <x:c r="C72" s="22" t="str">
        <x:v>https://www.linkedin.com/company/stanley-from-stan</x:v>
      </x:c>
      <x:c r="D72" s="22" t="str">
        <x:v>company_page</x:v>
      </x:c>
      <x:c r="E72" s="22" t="str">
        <x:v>no</x:v>
      </x:c>
      <x:c r="F72" s="22" t="str">
        <x:v>yes</x:v>
      </x:c>
      <x:c r="G72" s="22" t="str"/>
      <x:c r="H72" s="22" t="str"/>
      <x:c r="I72" s="22" t="str"/>
      <x:c r="J72" s="22" t="str">
        <x:v>30</x:v>
      </x:c>
      <x:c r="K72" s="22" t="str">
        <x:v>external_transferable</x:v>
      </x:c>
      <x:c r="L72" s="22" t="str">
        <x:v>repository_top100_exposure</x:v>
      </x:c>
      <x:c r="M72" s="22" t="str"/>
    </x:row>
    <x:row r="73">
      <x:c r="A73" s="22" t="str">
        <x:v>U072</x:v>
      </x:c>
      <x:c r="B73" s="22" t="str">
        <x:v>Stuart Hardman</x:v>
      </x:c>
      <x:c r="C73" s="22" t="str">
        <x:v>https://www.linkedin.com/in/stuart-hardman</x:v>
      </x:c>
      <x:c r="D73" s="22" t="str">
        <x:v>personal_profile</x:v>
      </x:c>
      <x:c r="E73" s="22" t="str">
        <x:v>yes</x:v>
      </x:c>
      <x:c r="F73" s="22" t="str">
        <x:v>no</x:v>
      </x:c>
      <x:c r="G73" s="22" t="str">
        <x:v>IMP-N1</x:v>
      </x:c>
      <x:c r="H73" s="22" t="str">
        <x:v>implementation_adjacent</x:v>
      </x:c>
      <x:c r="I73" s="22" t="str">
        <x:v>near_500_5k</x:v>
      </x:c>
      <x:c r="J73" s="22" t="str"/>
      <x:c r="K73" s="22" t="str"/>
      <x:c r="L73" s="22" t="str">
        <x:v>none_recorded</x:v>
      </x:c>
      <x:c r="M73" s="22" t="str"/>
    </x:row>
    <x:row r="74">
      <x:c r="A74" s="22" t="str">
        <x:v>U073</x:v>
      </x:c>
      <x:c r="B74" s="22" t="str">
        <x:v>Sue Bayes</x:v>
      </x:c>
      <x:c r="C74" s="22" t="str">
        <x:v>https://www.linkedin.com/in/suebayes</x:v>
      </x:c>
      <x:c r="D74" s="22" t="str">
        <x:v>personal_profile</x:v>
      </x:c>
      <x:c r="E74" s="22" t="str">
        <x:v>yes</x:v>
      </x:c>
      <x:c r="F74" s="22" t="str">
        <x:v>no</x:v>
      </x:c>
      <x:c r="G74" s="22" t="str">
        <x:v>IMP-E1</x:v>
      </x:c>
      <x:c r="H74" s="22" t="str">
        <x:v>implementation_adjacent</x:v>
      </x:c>
      <x:c r="I74" s="22" t="str">
        <x:v>emerging_1k_20k</x:v>
      </x:c>
      <x:c r="J74" s="22" t="str"/>
      <x:c r="K74" s="22" t="str"/>
      <x:c r="L74" s="22" t="str">
        <x:v>none_recorded</x:v>
      </x:c>
      <x:c r="M74" s="22" t="str"/>
    </x:row>
    <x:row r="75">
      <x:c r="A75" s="22" t="str">
        <x:v>U074</x:v>
      </x:c>
      <x:c r="B75" s="22" t="str">
        <x:v>Susan Walsh</x:v>
      </x:c>
      <x:c r="C75" s="22" t="str">
        <x:v>https://www.linkedin.com/in/susanewalsh</x:v>
      </x:c>
      <x:c r="D75" s="22" t="str">
        <x:v>personal_profile</x:v>
      </x:c>
      <x:c r="E75" s="22" t="str">
        <x:v>yes</x:v>
      </x:c>
      <x:c r="F75" s="22" t="str">
        <x:v>no</x:v>
      </x:c>
      <x:c r="G75" s="22" t="str">
        <x:v>PRC-X2</x:v>
      </x:c>
      <x:c r="H75" s="22" t="str">
        <x:v>purchasing_procurement</x:v>
      </x:c>
      <x:c r="I75" s="22" t="str">
        <x:v>established_20k_plus</x:v>
      </x:c>
      <x:c r="J75" s="22" t="str"/>
      <x:c r="K75" s="22" t="str"/>
      <x:c r="L75" s="22" t="str">
        <x:v>none_recorded</x:v>
      </x:c>
      <x:c r="M75" s="22" t="str"/>
    </x:row>
    <x:row r="76">
      <x:c r="A76" s="22" t="str">
        <x:v>U075</x:v>
      </x:c>
      <x:c r="B76" s="22" t="str">
        <x:v>Tariq Zaman</x:v>
      </x:c>
      <x:c r="C76" s="22" t="str">
        <x:v>https://www.linkedin.com/in/tariq-zaman-pak</x:v>
      </x:c>
      <x:c r="D76" s="22" t="str">
        <x:v>personal_profile</x:v>
      </x:c>
      <x:c r="E76" s="22" t="str">
        <x:v>no</x:v>
      </x:c>
      <x:c r="F76" s="22" t="str">
        <x:v>yes</x:v>
      </x:c>
      <x:c r="G76" s="22" t="str"/>
      <x:c r="H76" s="22" t="str"/>
      <x:c r="I76" s="22" t="str"/>
      <x:c r="J76" s="22" t="str">
        <x:v>5</x:v>
      </x:c>
      <x:c r="K76" s="22" t="str">
        <x:v>direct_scm</x:v>
      </x:c>
      <x:c r="L76" s="22" t="str">
        <x:v>repository_top100_exposure</x:v>
      </x:c>
      <x:c r="M76" s="22" t="str"/>
    </x:row>
    <x:row r="77">
      <x:c r="A77" s="22" t="str">
        <x:v>U076</x:v>
      </x:c>
      <x:c r="B77" s="22" t="str">
        <x:v>Tom Alder</x:v>
      </x:c>
      <x:c r="C77" s="22" t="str">
        <x:v>https://www.linkedin.com/in/tom-alder</x:v>
      </x:c>
      <x:c r="D77" s="22" t="str">
        <x:v>personal_profile</x:v>
      </x:c>
      <x:c r="E77" s="22" t="str">
        <x:v>no</x:v>
      </x:c>
      <x:c r="F77" s="22" t="str">
        <x:v>yes</x:v>
      </x:c>
      <x:c r="G77" s="22" t="str"/>
      <x:c r="H77" s="22" t="str"/>
      <x:c r="I77" s="22" t="str"/>
      <x:c r="J77" s="22" t="str">
        <x:v>58</x:v>
      </x:c>
      <x:c r="K77" s="22" t="str">
        <x:v>implementation_adjacent</x:v>
      </x:c>
      <x:c r="L77" s="22" t="str">
        <x:v>repository_top100_exposure</x:v>
      </x:c>
      <x:c r="M77" s="22" t="str"/>
    </x:row>
    <x:row r="78">
      <x:c r="A78" s="22" t="str">
        <x:v>U077</x:v>
      </x:c>
      <x:c r="B78" s="22" t="str">
        <x:v>Tom Mills</x:v>
      </x:c>
      <x:c r="C78" s="22" t="str">
        <x:v>https://www.linkedin.com/in/tom-mills-procurement</x:v>
      </x:c>
      <x:c r="D78" s="22" t="str">
        <x:v>personal_profile</x:v>
      </x:c>
      <x:c r="E78" s="22" t="str">
        <x:v>yes</x:v>
      </x:c>
      <x:c r="F78" s="22" t="str">
        <x:v>yes</x:v>
      </x:c>
      <x:c r="G78" s="22" t="str">
        <x:v>PRC-X1</x:v>
      </x:c>
      <x:c r="H78" s="22" t="str">
        <x:v>purchasing_procurement</x:v>
      </x:c>
      <x:c r="I78" s="22" t="str">
        <x:v>established_20k_plus</x:v>
      </x:c>
      <x:c r="J78" s="22" t="str">
        <x:v>35; 56; 69; 86</x:v>
      </x:c>
      <x:c r="K78" s="22" t="str">
        <x:v>direct_scm</x:v>
      </x:c>
      <x:c r="L78" s="22" t="str">
        <x:v>repository_top100_exposure</x:v>
      </x:c>
      <x:c r="M78" s="22" t="str">
        <x:v>Track A/B overlap; extract history once and preserve both labels.</x:v>
      </x:c>
    </x:row>
    <x:row r="79">
      <x:c r="A79" s="22" t="str">
        <x:v>U078</x:v>
      </x:c>
      <x:c r="B79" s="22" t="str">
        <x:v>Vipin K Rastogi</x:v>
      </x:c>
      <x:c r="C79" s="22" t="str">
        <x:v>https://www.linkedin.com/in/vipin-k-rastogi-a751847a</x:v>
      </x:c>
      <x:c r="D79" s="22" t="str">
        <x:v>personal_profile</x:v>
      </x:c>
      <x:c r="E79" s="22" t="str">
        <x:v>no</x:v>
      </x:c>
      <x:c r="F79" s="22" t="str">
        <x:v>yes</x:v>
      </x:c>
      <x:c r="G79" s="22" t="str"/>
      <x:c r="H79" s="22" t="str"/>
      <x:c r="I79" s="22" t="str"/>
      <x:c r="J79" s="22" t="str">
        <x:v>64</x:v>
      </x:c>
      <x:c r="K79" s="22" t="str">
        <x:v>direct_scm</x:v>
      </x:c>
      <x:c r="L79" s="22" t="str">
        <x:v>repository_top100_exposure</x:v>
      </x:c>
      <x:c r="M79" s="22" t="str"/>
    </x:row>
    <x:row r="80">
      <x:c r="A80" s="22" t="str">
        <x:v>U079</x:v>
      </x:c>
      <x:c r="B80" s="22" t="str">
        <x:v>Will McTighe</x:v>
      </x:c>
      <x:c r="C80" s="22" t="str">
        <x:v>https://www.linkedin.com/in/will-mctighe</x:v>
      </x:c>
      <x:c r="D80" s="22" t="str">
        <x:v>personal_profile</x:v>
      </x:c>
      <x:c r="E80" s="22" t="str">
        <x:v>no</x:v>
      </x:c>
      <x:c r="F80" s="22" t="str">
        <x:v>yes</x:v>
      </x:c>
      <x:c r="G80" s="22" t="str"/>
      <x:c r="H80" s="22" t="str"/>
      <x:c r="I80" s="22" t="str"/>
      <x:c r="J80" s="22" t="str">
        <x:v>23</x:v>
      </x:c>
      <x:c r="K80" s="22" t="str">
        <x:v>external_transferable</x:v>
      </x:c>
      <x:c r="L80" s="22" t="str">
        <x:v>repository_top100_exposure</x:v>
      </x:c>
      <x:c r="M80" s="22" t="str"/>
    </x:row>
    <x:row r="81">
      <x:c r="A81" s="22" t="str">
        <x:v>U080</x:v>
      </x:c>
      <x:c r="B81" s="22" t="str">
        <x:v>Wouter van Heddeghem</x:v>
      </x:c>
      <x:c r="C81" s="22" t="str">
        <x:v>https://www.linkedin.com/in/woutervanheddeghem</x:v>
      </x:c>
      <x:c r="D81" s="22" t="str">
        <x:v>personal_profile</x:v>
      </x:c>
      <x:c r="E81" s="22" t="str">
        <x:v>no</x:v>
      </x:c>
      <x:c r="F81" s="22" t="str">
        <x:v>yes</x:v>
      </x:c>
      <x:c r="G81" s="22" t="str"/>
      <x:c r="H81" s="22" t="str"/>
      <x:c r="I81" s="22" t="str"/>
      <x:c r="J81" s="22" t="str">
        <x:v>83</x:v>
      </x:c>
      <x:c r="K81" s="22" t="str">
        <x:v>direct_scm</x:v>
      </x:c>
      <x:c r="L81" s="22" t="str">
        <x:v>repository_top100_exposure</x:v>
      </x:c>
      <x:c r="M81" s="22" t="str"/>
    </x:row>
    <x:row r="82">
      <x:c r="A82" s="22" t="str">
        <x:v>U081</x:v>
      </x:c>
      <x:c r="B82" s="22" t="str">
        <x:v>Yonathan Levy</x:v>
      </x:c>
      <x:c r="C82" s="22" t="str">
        <x:v>https://www.linkedin.com/in/yonathan-levy</x:v>
      </x:c>
      <x:c r="D82" s="22" t="str">
        <x:v>personal_profile</x:v>
      </x:c>
      <x:c r="E82" s="22" t="str">
        <x:v>no</x:v>
      </x:c>
      <x:c r="F82" s="22" t="str">
        <x:v>yes</x:v>
      </x:c>
      <x:c r="G82" s="22" t="str"/>
      <x:c r="H82" s="22" t="str"/>
      <x:c r="I82" s="22" t="str"/>
      <x:c r="J82" s="22" t="str">
        <x:v>28; 36; 41; 48; 53</x:v>
      </x:c>
      <x:c r="K82" s="22" t="str">
        <x:v>external_transferable</x:v>
      </x:c>
      <x:c r="L82" s="22" t="str">
        <x:v>repository_top100_exposure</x:v>
      </x:c>
      <x:c r="M82" s="22" t="str"/>
    </x:row>
  </x:sheetData>
  <x:pageMargins left="0.7" right="0.7" top="0.75" bottom="0.75" header="0.3" footer="0.3"/>
  <x:tableParts count="1">
    <x:tablePart xmlns:r="http://schemas.openxmlformats.org/officeDocument/2006/relationships" r:id="Rf97d8665497f473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30" hidden="0" customWidth="1"/>
    <x:col min="4" max="4" width="30" hidden="0" customWidth="1"/>
    <x:col min="5" max="5" width="58" hidden="0" customWidth="1"/>
    <x:col min="6" max="6" width="14" hidden="0" customWidth="1"/>
    <x:col min="7" max="7" width="56" hidden="0" customWidth="1"/>
    <x:col min="8" max="8" width="25" hidden="0" customWidth="1"/>
    <x:col min="9" max="9" width="22" hidden="0" customWidth="1"/>
  </x:cols>
  <x:sheetData>
    <x:row r="1" ht="30" customHeight="1">
      <x:c r="A1" s="72" t="str">
        <x:v>Dual-Track Canary — executed 2026-07-28; actual $0.07605; 3 profiles + 32 post rows / 28 unique URLs</x:v>
      </x:c>
      <x:c r="B1" s="72"/>
      <x:c r="C1" s="72"/>
      <x:c r="D1" s="72"/>
      <x:c r="E1" s="72"/>
      <x:c r="F1" s="72"/>
      <x:c r="G1" s="72"/>
      <x:c r="H1" s="72"/>
      <x:c r="I1" s="72"/>
    </x:row>
    <x:row r="2" ht="30" customHeight="1">
      <x:c r="A2" s="76" t="str">
        <x:v>Research decision: Gate 1 BLOCKED — 32 raw / 28 unique (12.5% excess duplicates); media/quote/repost coverage unresolved; no full run.</x:v>
      </x:c>
      <x:c r="B2" s="76"/>
      <x:c r="C2" s="76"/>
      <x:c r="D2" s="76"/>
      <x:c r="E2" s="76"/>
      <x:c r="F2" s="76"/>
      <x:c r="G2" s="76"/>
      <x:c r="H2" s="76"/>
      <x:c r="I2" s="76"/>
    </x:row>
    <x:row r="3">
      <x:c r="A3" s="14" t="str">
        <x:v>canary_item_id</x:v>
      </x:c>
      <x:c r="B3" s="14" t="str">
        <x:v>item_type</x:v>
      </x:c>
      <x:c r="C3" s="14" t="str">
        <x:v>track_role</x:v>
      </x:c>
      <x:c r="D3" s="14" t="str">
        <x:v>creator_or_case</x:v>
      </x:c>
      <x:c r="E3" s="14" t="str">
        <x:v>target_url</x:v>
      </x:c>
      <x:c r="F3" s="14" t="str">
        <x:v>max_posts</x:v>
      </x:c>
      <x:c r="G3" s="14" t="str">
        <x:v>observed_result</x:v>
      </x:c>
      <x:c r="H3" s="14" t="str">
        <x:v>planned_cost_usd</x:v>
      </x:c>
      <x:c r="I3" s="14" t="str">
        <x:v>execution_status</x:v>
      </x:c>
    </x:row>
    <x:row r="4" ht="42" customHeight="1">
      <x:c r="A4" s="22" t="str">
        <x:v>C00</x:v>
      </x:c>
      <x:c r="B4" s="22" t="str">
        <x:v>actor_start</x:v>
      </x:c>
      <x:c r="C4" s="22" t="str">
        <x:v>Infrastructure</x:v>
      </x:c>
      <x:c r="D4" s="22" t="str">
        <x:v>LinkedIn Profile Posts Actor</x:v>
      </x:c>
      <x:c r="E4" s="22" t="str">
        <x:v>https://apify.com/harvestapi/linkedin-profile-posts</x:v>
      </x:c>
      <x:c r="F4" s="22"/>
      <x:c r="G4" s="22" t="str">
        <x:v>Start billed $0.00005; post run returned 32 raw rows</x:v>
      </x:c>
      <x:c r="H4" s="77" t="n">
        <x:v>0.00005</x:v>
      </x:c>
      <x:c r="I4" s="79" t="str">
        <x:v>succeeded</x:v>
      </x:c>
    </x:row>
    <x:row r="5" ht="42" customHeight="1">
      <x:c r="A5" s="22" t="str">
        <x:v>C01</x:v>
      </x:c>
      <x:c r="B5" s="22" t="str">
        <x:v>creator_history</x:v>
      </x:c>
      <x:c r="C5" s="22" t="str">
        <x:v>Track A near peer</x:v>
      </x:c>
      <x:c r="D5" s="22" t="str">
        <x:v>Stuart Hardman</x:v>
      </x:c>
      <x:c r="E5" s="22" t="str">
        <x:v>https://www.linkedin.com/in/stuart-hardman</x:v>
      </x:c>
      <x:c r="F5" s="22" t="n">
        <x:v>10</x:v>
      </x:c>
      <x:c r="G5" s="22" t="str">
        <x:v>10 raw / 10 unique; core fields passed; static/document media unresolved</x:v>
      </x:c>
      <x:c r="H5" s="77" t="n">
        <x:v>0.024</x:v>
      </x:c>
      <x:c r="I5" s="79" t="str">
        <x:v>succeeded</x:v>
      </x:c>
    </x:row>
    <x:row r="6" ht="42" customHeight="1">
      <x:c r="A6" s="22" t="str">
        <x:v>C02</x:v>
      </x:c>
      <x:c r="B6" s="22" t="str">
        <x:v>creator_history</x:v>
      </x:c>
      <x:c r="C6" s="22" t="str">
        <x:v>Track A/B overlap + direct SCM</x:v>
      </x:c>
      <x:c r="D6" s="22" t="str">
        <x:v>Asmaa Gad</x:v>
      </x:c>
      <x:c r="E6" s="22" t="str">
        <x:v>https://www.linkedin.com/in/supplychainaipro</x:v>
      </x:c>
      <x:c r="F6" s="22" t="n">
        <x:v>10</x:v>
      </x:c>
      <x:c r="G6" s="22" t="str">
        <x:v>10 raw / 6 unique; four duplicate groups; static/document media unresolved</x:v>
      </x:c>
      <x:c r="H6" s="77" t="n">
        <x:v>0.024</x:v>
      </x:c>
      <x:c r="I6" s="79" t="str">
        <x:v>succeeded</x:v>
      </x:c>
    </x:row>
    <x:row r="7" ht="42" customHeight="1">
      <x:c r="A7" s="22" t="str">
        <x:v>C03</x:v>
      </x:c>
      <x:c r="B7" s="22" t="str">
        <x:v>creator_history</x:v>
      </x:c>
      <x:c r="C7" s="22" t="str">
        <x:v>Track B external transferable</x:v>
      </x:c>
      <x:c r="D7" s="22" t="str">
        <x:v>Charlie Hills</x:v>
      </x:c>
      <x:c r="E7" s="22" t="str">
        <x:v>https://www.linkedin.com/in/charlie-hills</x:v>
      </x:c>
      <x:c r="F7" s="22" t="n">
        <x:v>10</x:v>
      </x:c>
      <x:c r="G7" s="22" t="str">
        <x:v>10 raw / 10 unique; two video URLs; static/document media unresolved</x:v>
      </x:c>
      <x:c r="H7" s="77" t="n">
        <x:v>0.024</x:v>
      </x:c>
      <x:c r="I7" s="79" t="str">
        <x:v>succeeded</x:v>
      </x:c>
    </x:row>
    <x:row r="8" ht="42" customHeight="1">
      <x:c r="A8" s="22" t="str">
        <x:v>C04</x:v>
      </x:c>
      <x:c r="B8" s="22" t="str">
        <x:v>exact_reference</x:v>
      </x:c>
      <x:c r="C8" s="22" t="str">
        <x:v>Attribution split</x:v>
      </x:c>
      <x:c r="D8" s="22" t="str">
        <x:v>Reference 84 — Angus Craig / Asmaa Gad</x:v>
      </x:c>
      <x:c r="E8" s="22" t="str">
        <x:v>https://www.linkedin.com/posts/anguscraigfcips_like-many-people-ive-been-trying-to-get-activity-7450877132563558400-2vPe</x:v>
      </x:c>
      <x:c r="F8" s="22" t="n">
        <x:v>1</x:v>
      </x:c>
      <x:c r="G8" s="22" t="str">
        <x:v>One row; posting author Angus and credited creator Asmaa remain separate</x:v>
      </x:c>
      <x:c r="H8" s="77" t="n">
        <x:v>0.002</x:v>
      </x:c>
      <x:c r="I8" s="79" t="str">
        <x:v>succeeded</x:v>
      </x:c>
    </x:row>
    <x:row r="9" ht="42" customHeight="1">
      <x:c r="A9" s="22" t="str">
        <x:v>C05</x:v>
      </x:c>
      <x:c r="B9" s="22" t="str">
        <x:v>exact_reference</x:v>
      </x:c>
      <x:c r="C9" s="22" t="str">
        <x:v>Duplicate provenance</x:v>
      </x:c>
      <x:c r="D9" s="22" t="str">
        <x:v>References 1 + 63 — one Eric Partaker post</x:v>
      </x:c>
      <x:c r="E9" s="22" t="str">
        <x:v>https://www.linkedin.com/posts/ericpartaker_85-of-leaders-regretted-a-major-decision-activity-7471169532758355968-c7NH</x:v>
      </x:c>
      <x:c r="F9" s="22" t="n">
        <x:v>1</x:v>
      </x:c>
      <x:c r="G9" s="22" t="str">
        <x:v>One physical post returned; two reference labels remain in the identity layer</x:v>
      </x:c>
      <x:c r="H9" s="77" t="n">
        <x:v>0.002</x:v>
      </x:c>
      <x:c r="I9" s="79" t="str">
        <x:v>succeeded</x:v>
      </x:c>
    </x:row>
  </x:sheetData>
  <x:mergeCells>
    <x:mergeCell ref="A1:I1"/>
    <x:mergeCell ref="A2:I2"/>
  </x:mergeCells>
  <x:pageMargins left="0.7" right="0.7" top="0.75" bottom="0.75" header="0.3" footer="0.3"/>
  <x:tableParts count="1">
    <x:tablePart xmlns:r="http://schemas.openxmlformats.org/officeDocument/2006/relationships" r:id="R9039eed9138348e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25" hidden="0" customWidth="1"/>
    <x:col min="4" max="4" width="25" hidden="0" customWidth="1"/>
    <x:col min="5" max="5" width="25" hidden="0" customWidth="1"/>
    <x:col min="6" max="6" width="38" hidden="0" customWidth="1"/>
    <x:col min="7" max="7" width="38" hidden="0" customWidth="1"/>
    <x:col min="8" max="8" width="38" hidden="0" customWidth="1"/>
    <x:col min="9" max="9" width="20" hidden="0" customWidth="1"/>
    <x:col min="10" max="10" width="20" hidden="0" customWidth="1"/>
    <x:col min="11" max="11" width="20" hidden="0" customWidth="1"/>
    <x:col min="12" max="12" width="20" hidden="0" customWidth="1"/>
    <x:col min="13" max="13" width="34" hidden="0" customWidth="1"/>
    <x:col min="14" max="14" width="34" hidden="0" customWidth="1"/>
    <x:col min="15" max="15" width="34" hidden="0" customWidth="1"/>
    <x:col min="16" max="16" width="20" hidden="0" customWidth="1"/>
    <x:col min="17" max="17" width="20" hidden="0" customWidth="1"/>
    <x:col min="18" max="18" width="42" hidden="0" customWidth="1"/>
  </x:cols>
  <x:sheetData>
    <x:row r="1">
      <x:c r="A1" s="72" t="str">
        <x:v>V4 Intelligence Scout Queue — topics advance only when audience pain, market evidence, and a buildable proof artifact meet the gate</x:v>
      </x:c>
      <x:c r="B1" s="72"/>
      <x:c r="C1" s="72"/>
      <x:c r="D1" s="72"/>
      <x:c r="E1" s="72"/>
      <x:c r="F1" s="72"/>
      <x:c r="G1" s="72"/>
      <x:c r="H1" s="72"/>
      <x:c r="I1" s="72"/>
      <x:c r="J1" s="72"/>
      <x:c r="K1" s="72"/>
      <x:c r="L1" s="72"/>
      <x:c r="M1" s="72"/>
      <x:c r="N1" s="72"/>
      <x:c r="O1" s="72"/>
      <x:c r="P1" s="72"/>
      <x:c r="Q1" s="72"/>
      <x:c r="R1" s="72"/>
    </x:row>
    <x:row r="2">
      <x:c r="A2" s="7" t="str">
        <x:v>Tier A: target-audience pain + repeated peer or Top-100 evidence + public-data/artifact path + validation. Tier B: promising but one evidence layer missing. Reject: generic trend, status-dependent, or no defensible work output.</x:v>
      </x:c>
      <x:c r="B2" s="7"/>
      <x:c r="C2" s="7"/>
      <x:c r="D2" s="7"/>
      <x:c r="E2" s="7"/>
      <x:c r="F2" s="7"/>
      <x:c r="G2" s="7"/>
      <x:c r="H2" s="7"/>
      <x:c r="I2" s="7"/>
      <x:c r="J2" s="7"/>
      <x:c r="K2" s="7"/>
      <x:c r="L2" s="7"/>
      <x:c r="M2" s="7"/>
      <x:c r="N2" s="7"/>
      <x:c r="O2" s="7"/>
      <x:c r="P2" s="7"/>
      <x:c r="Q2" s="7"/>
      <x:c r="R2" s="7"/>
    </x:row>
    <x:row r="4">
      <x:c r="A4" s="80" t="str">
        <x:v>signal_id</x:v>
      </x:c>
      <x:c r="B4" s="80" t="str">
        <x:v>candidate_topic</x:v>
      </x:c>
      <x:c r="C4" s="80" t="str">
        <x:v>audience_role</x:v>
      </x:c>
      <x:c r="D4" s="80" t="str">
        <x:v>domain</x:v>
      </x:c>
      <x:c r="E4" s="80" t="str">
        <x:v>problem_family</x:v>
      </x:c>
      <x:c r="F4" s="80" t="str">
        <x:v>pain_or_stakes</x:v>
      </x:c>
      <x:c r="G4" s="80" t="str">
        <x:v>source_layer</x:v>
      </x:c>
      <x:c r="H4" s="80" t="str">
        <x:v>source_creator_or_post</x:v>
      </x:c>
      <x:c r="I4" s="80" t="str">
        <x:v>peer_repeatability</x:v>
      </x:c>
      <x:c r="J4" s="80" t="str">
        <x:v>top100_exceptionality</x:v>
      </x:c>
      <x:c r="K4" s="80" t="str">
        <x:v>tiger_precedent</x:v>
      </x:c>
      <x:c r="L4" s="80" t="str">
        <x:v>public_data_available</x:v>
      </x:c>
      <x:c r="M4" s="80" t="str">
        <x:v>artifact_candidate</x:v>
      </x:c>
      <x:c r="N4" s="80" t="str">
        <x:v>ai_role</x:v>
      </x:c>
      <x:c r="O4" s="80" t="str">
        <x:v>validation_check</x:v>
      </x:c>
      <x:c r="P4" s="80" t="str">
        <x:v>evidence_tier</x:v>
      </x:c>
      <x:c r="Q4" s="80" t="str">
        <x:v>status</x:v>
      </x:c>
      <x:c r="R4" s="80" t="str">
        <x:v>notes</x:v>
      </x:c>
    </x:row>
    <x:row r="5">
      <x:c r="A5" s="22"/>
      <x:c r="B5" s="22"/>
      <x:c r="C5" s="22"/>
      <x:c r="D5" s="22"/>
      <x:c r="E5" s="22"/>
      <x:c r="F5" s="22"/>
      <x:c r="G5" s="22"/>
      <x:c r="H5" s="22"/>
      <x:c r="I5" s="22"/>
      <x:c r="J5" s="22"/>
      <x:c r="K5" s="22"/>
      <x:c r="L5" s="22"/>
      <x:c r="M5" s="22"/>
      <x:c r="N5" s="22"/>
      <x:c r="O5" s="22"/>
      <x:c r="P5" s="22"/>
      <x:c r="Q5" s="22"/>
      <x:c r="R5" s="22"/>
    </x:row>
    <x:row r="6">
      <x:c r="A6" s="22"/>
      <x:c r="B6" s="22"/>
      <x:c r="C6" s="22"/>
      <x:c r="D6" s="22"/>
      <x:c r="E6" s="22"/>
      <x:c r="F6" s="22"/>
      <x:c r="G6" s="22"/>
      <x:c r="H6" s="22"/>
      <x:c r="I6" s="22"/>
      <x:c r="J6" s="22"/>
      <x:c r="K6" s="22"/>
      <x:c r="L6" s="22"/>
      <x:c r="M6" s="22"/>
      <x:c r="N6" s="22"/>
      <x:c r="O6" s="22"/>
      <x:c r="P6" s="22"/>
      <x:c r="Q6" s="22"/>
      <x:c r="R6" s="22"/>
    </x:row>
    <x:row r="7">
      <x:c r="A7" s="22"/>
      <x:c r="B7" s="22"/>
      <x:c r="C7" s="22"/>
      <x:c r="D7" s="22"/>
      <x:c r="E7" s="22"/>
      <x:c r="F7" s="22"/>
      <x:c r="G7" s="22"/>
      <x:c r="H7" s="22"/>
      <x:c r="I7" s="22"/>
      <x:c r="J7" s="22"/>
      <x:c r="K7" s="22"/>
      <x:c r="L7" s="22"/>
      <x:c r="M7" s="22"/>
      <x:c r="N7" s="22"/>
      <x:c r="O7" s="22"/>
      <x:c r="P7" s="22"/>
      <x:c r="Q7" s="22"/>
      <x:c r="R7" s="22"/>
    </x:row>
    <x:row r="8">
      <x:c r="A8" s="22"/>
      <x:c r="B8" s="22"/>
      <x:c r="C8" s="22"/>
      <x:c r="D8" s="22"/>
      <x:c r="E8" s="22"/>
      <x:c r="F8" s="22"/>
      <x:c r="G8" s="22"/>
      <x:c r="H8" s="22"/>
      <x:c r="I8" s="22"/>
      <x:c r="J8" s="22"/>
      <x:c r="K8" s="22"/>
      <x:c r="L8" s="22"/>
      <x:c r="M8" s="22"/>
      <x:c r="N8" s="22"/>
      <x:c r="O8" s="22"/>
      <x:c r="P8" s="22"/>
      <x:c r="Q8" s="22"/>
      <x:c r="R8" s="22"/>
    </x:row>
    <x:row r="9">
      <x:c r="A9" s="22"/>
      <x:c r="B9" s="22"/>
      <x:c r="C9" s="22"/>
      <x:c r="D9" s="22"/>
      <x:c r="E9" s="22"/>
      <x:c r="F9" s="22"/>
      <x:c r="G9" s="22"/>
      <x:c r="H9" s="22"/>
      <x:c r="I9" s="22"/>
      <x:c r="J9" s="22"/>
      <x:c r="K9" s="22"/>
      <x:c r="L9" s="22"/>
      <x:c r="M9" s="22"/>
      <x:c r="N9" s="22"/>
      <x:c r="O9" s="22"/>
      <x:c r="P9" s="22"/>
      <x:c r="Q9" s="22"/>
      <x:c r="R9" s="22"/>
    </x:row>
    <x:row r="10">
      <x:c r="A10" s="22"/>
      <x:c r="B10" s="22"/>
      <x:c r="C10" s="22"/>
      <x:c r="D10" s="22"/>
      <x:c r="E10" s="22"/>
      <x:c r="F10" s="22"/>
      <x:c r="G10" s="22"/>
      <x:c r="H10" s="22"/>
      <x:c r="I10" s="22"/>
      <x:c r="J10" s="22"/>
      <x:c r="K10" s="22"/>
      <x:c r="L10" s="22"/>
      <x:c r="M10" s="22"/>
      <x:c r="N10" s="22"/>
      <x:c r="O10" s="22"/>
      <x:c r="P10" s="22"/>
      <x:c r="Q10" s="22"/>
      <x:c r="R10" s="22"/>
    </x:row>
    <x:row r="11">
      <x:c r="A11" s="22"/>
      <x:c r="B11" s="22"/>
      <x:c r="C11" s="22"/>
      <x:c r="D11" s="22"/>
      <x:c r="E11" s="22"/>
      <x:c r="F11" s="22"/>
      <x:c r="G11" s="22"/>
      <x:c r="H11" s="22"/>
      <x:c r="I11" s="22"/>
      <x:c r="J11" s="22"/>
      <x:c r="K11" s="22"/>
      <x:c r="L11" s="22"/>
      <x:c r="M11" s="22"/>
      <x:c r="N11" s="22"/>
      <x:c r="O11" s="22"/>
      <x:c r="P11" s="22"/>
      <x:c r="Q11" s="22"/>
      <x:c r="R11" s="22"/>
    </x:row>
    <x:row r="12">
      <x:c r="A12" s="22"/>
      <x:c r="B12" s="22"/>
      <x:c r="C12" s="22"/>
      <x:c r="D12" s="22"/>
      <x:c r="E12" s="22"/>
      <x:c r="F12" s="22"/>
      <x:c r="G12" s="22"/>
      <x:c r="H12" s="22"/>
      <x:c r="I12" s="22"/>
      <x:c r="J12" s="22"/>
      <x:c r="K12" s="22"/>
      <x:c r="L12" s="22"/>
      <x:c r="M12" s="22"/>
      <x:c r="N12" s="22"/>
      <x:c r="O12" s="22"/>
      <x:c r="P12" s="22"/>
      <x:c r="Q12" s="22"/>
      <x:c r="R12" s="22"/>
    </x:row>
    <x:row r="13">
      <x:c r="A13" s="22"/>
      <x:c r="B13" s="22"/>
      <x:c r="C13" s="22"/>
      <x:c r="D13" s="22"/>
      <x:c r="E13" s="22"/>
      <x:c r="F13" s="22"/>
      <x:c r="G13" s="22"/>
      <x:c r="H13" s="22"/>
      <x:c r="I13" s="22"/>
      <x:c r="J13" s="22"/>
      <x:c r="K13" s="22"/>
      <x:c r="L13" s="22"/>
      <x:c r="M13" s="22"/>
      <x:c r="N13" s="22"/>
      <x:c r="O13" s="22"/>
      <x:c r="P13" s="22"/>
      <x:c r="Q13" s="22"/>
      <x:c r="R13" s="22"/>
    </x:row>
    <x:row r="14">
      <x:c r="A14" s="22"/>
      <x:c r="B14" s="22"/>
      <x:c r="C14" s="22"/>
      <x:c r="D14" s="22"/>
      <x:c r="E14" s="22"/>
      <x:c r="F14" s="22"/>
      <x:c r="G14" s="22"/>
      <x:c r="H14" s="22"/>
      <x:c r="I14" s="22"/>
      <x:c r="J14" s="22"/>
      <x:c r="K14" s="22"/>
      <x:c r="L14" s="22"/>
      <x:c r="M14" s="22"/>
      <x:c r="N14" s="22"/>
      <x:c r="O14" s="22"/>
      <x:c r="P14" s="22"/>
      <x:c r="Q14" s="22"/>
      <x:c r="R14" s="22"/>
    </x:row>
    <x:row r="15">
      <x:c r="A15" s="22"/>
      <x:c r="B15" s="22"/>
      <x:c r="C15" s="22"/>
      <x:c r="D15" s="22"/>
      <x:c r="E15" s="22"/>
      <x:c r="F15" s="22"/>
      <x:c r="G15" s="22"/>
      <x:c r="H15" s="22"/>
      <x:c r="I15" s="22"/>
      <x:c r="J15" s="22"/>
      <x:c r="K15" s="22"/>
      <x:c r="L15" s="22"/>
      <x:c r="M15" s="22"/>
      <x:c r="N15" s="22"/>
      <x:c r="O15" s="22"/>
      <x:c r="P15" s="22"/>
      <x:c r="Q15" s="22"/>
      <x:c r="R15" s="22"/>
    </x:row>
    <x:row r="16">
      <x:c r="A16" s="22"/>
      <x:c r="B16" s="22"/>
      <x:c r="C16" s="22"/>
      <x:c r="D16" s="22"/>
      <x:c r="E16" s="22"/>
      <x:c r="F16" s="22"/>
      <x:c r="G16" s="22"/>
      <x:c r="H16" s="22"/>
      <x:c r="I16" s="22"/>
      <x:c r="J16" s="22"/>
      <x:c r="K16" s="22"/>
      <x:c r="L16" s="22"/>
      <x:c r="M16" s="22"/>
      <x:c r="N16" s="22"/>
      <x:c r="O16" s="22"/>
      <x:c r="P16" s="22"/>
      <x:c r="Q16" s="22"/>
      <x:c r="R16" s="22"/>
    </x:row>
    <x:row r="17">
      <x:c r="A17" s="22"/>
      <x:c r="B17" s="22"/>
      <x:c r="C17" s="22"/>
      <x:c r="D17" s="22"/>
      <x:c r="E17" s="22"/>
      <x:c r="F17" s="22"/>
      <x:c r="G17" s="22"/>
      <x:c r="H17" s="22"/>
      <x:c r="I17" s="22"/>
      <x:c r="J17" s="22"/>
      <x:c r="K17" s="22"/>
      <x:c r="L17" s="22"/>
      <x:c r="M17" s="22"/>
      <x:c r="N17" s="22"/>
      <x:c r="O17" s="22"/>
      <x:c r="P17" s="22"/>
      <x:c r="Q17" s="22"/>
      <x:c r="R17" s="22"/>
    </x:row>
    <x:row r="18">
      <x:c r="A18" s="22"/>
      <x:c r="B18" s="22"/>
      <x:c r="C18" s="22"/>
      <x:c r="D18" s="22"/>
      <x:c r="E18" s="22"/>
      <x:c r="F18" s="22"/>
      <x:c r="G18" s="22"/>
      <x:c r="H18" s="22"/>
      <x:c r="I18" s="22"/>
      <x:c r="J18" s="22"/>
      <x:c r="K18" s="22"/>
      <x:c r="L18" s="22"/>
      <x:c r="M18" s="22"/>
      <x:c r="N18" s="22"/>
      <x:c r="O18" s="22"/>
      <x:c r="P18" s="22"/>
      <x:c r="Q18" s="22"/>
      <x:c r="R18" s="22"/>
    </x:row>
    <x:row r="19">
      <x:c r="A19" s="22"/>
      <x:c r="B19" s="22"/>
      <x:c r="C19" s="22"/>
      <x:c r="D19" s="22"/>
      <x:c r="E19" s="22"/>
      <x:c r="F19" s="22"/>
      <x:c r="G19" s="22"/>
      <x:c r="H19" s="22"/>
      <x:c r="I19" s="22"/>
      <x:c r="J19" s="22"/>
      <x:c r="K19" s="22"/>
      <x:c r="L19" s="22"/>
      <x:c r="M19" s="22"/>
      <x:c r="N19" s="22"/>
      <x:c r="O19" s="22"/>
      <x:c r="P19" s="22"/>
      <x:c r="Q19" s="22"/>
      <x:c r="R19" s="22"/>
    </x:row>
    <x:row r="20">
      <x:c r="A20" s="22"/>
      <x:c r="B20" s="22"/>
      <x:c r="C20" s="22"/>
      <x:c r="D20" s="22"/>
      <x:c r="E20" s="22"/>
      <x:c r="F20" s="22"/>
      <x:c r="G20" s="22"/>
      <x:c r="H20" s="22"/>
      <x:c r="I20" s="22"/>
      <x:c r="J20" s="22"/>
      <x:c r="K20" s="22"/>
      <x:c r="L20" s="22"/>
      <x:c r="M20" s="22"/>
      <x:c r="N20" s="22"/>
      <x:c r="O20" s="22"/>
      <x:c r="P20" s="22"/>
      <x:c r="Q20" s="22"/>
      <x:c r="R20" s="22"/>
    </x:row>
    <x:row r="21">
      <x:c r="A21" s="22"/>
      <x:c r="B21" s="22"/>
      <x:c r="C21" s="22"/>
      <x:c r="D21" s="22"/>
      <x:c r="E21" s="22"/>
      <x:c r="F21" s="22"/>
      <x:c r="G21" s="22"/>
      <x:c r="H21" s="22"/>
      <x:c r="I21" s="22"/>
      <x:c r="J21" s="22"/>
      <x:c r="K21" s="22"/>
      <x:c r="L21" s="22"/>
      <x:c r="M21" s="22"/>
      <x:c r="N21" s="22"/>
      <x:c r="O21" s="22"/>
      <x:c r="P21" s="22"/>
      <x:c r="Q21" s="22"/>
      <x:c r="R21" s="22"/>
    </x:row>
    <x:row r="22">
      <x:c r="A22" s="22"/>
      <x:c r="B22" s="22"/>
      <x:c r="C22" s="22"/>
      <x:c r="D22" s="22"/>
      <x:c r="E22" s="22"/>
      <x:c r="F22" s="22"/>
      <x:c r="G22" s="22"/>
      <x:c r="H22" s="22"/>
      <x:c r="I22" s="22"/>
      <x:c r="J22" s="22"/>
      <x:c r="K22" s="22"/>
      <x:c r="L22" s="22"/>
      <x:c r="M22" s="22"/>
      <x:c r="N22" s="22"/>
      <x:c r="O22" s="22"/>
      <x:c r="P22" s="22"/>
      <x:c r="Q22" s="22"/>
      <x:c r="R22" s="22"/>
    </x:row>
    <x:row r="23">
      <x:c r="A23" s="22"/>
      <x:c r="B23" s="22"/>
      <x:c r="C23" s="22"/>
      <x:c r="D23" s="22"/>
      <x:c r="E23" s="22"/>
      <x:c r="F23" s="22"/>
      <x:c r="G23" s="22"/>
      <x:c r="H23" s="22"/>
      <x:c r="I23" s="22"/>
      <x:c r="J23" s="22"/>
      <x:c r="K23" s="22"/>
      <x:c r="L23" s="22"/>
      <x:c r="M23" s="22"/>
      <x:c r="N23" s="22"/>
      <x:c r="O23" s="22"/>
      <x:c r="P23" s="22"/>
      <x:c r="Q23" s="22"/>
      <x:c r="R23" s="22"/>
    </x:row>
    <x:row r="24">
      <x:c r="A24" s="22"/>
      <x:c r="B24" s="22"/>
      <x:c r="C24" s="22"/>
      <x:c r="D24" s="22"/>
      <x:c r="E24" s="22"/>
      <x:c r="F24" s="22"/>
      <x:c r="G24" s="22"/>
      <x:c r="H24" s="22"/>
      <x:c r="I24" s="22"/>
      <x:c r="J24" s="22"/>
      <x:c r="K24" s="22"/>
      <x:c r="L24" s="22"/>
      <x:c r="M24" s="22"/>
      <x:c r="N24" s="22"/>
      <x:c r="O24" s="22"/>
      <x:c r="P24" s="22"/>
      <x:c r="Q24" s="22"/>
      <x:c r="R24" s="22"/>
    </x:row>
    <x:row r="25">
      <x:c r="A25" s="22"/>
      <x:c r="B25" s="22"/>
      <x:c r="C25" s="22"/>
      <x:c r="D25" s="22"/>
      <x:c r="E25" s="22"/>
      <x:c r="F25" s="22"/>
      <x:c r="G25" s="22"/>
      <x:c r="H25" s="22"/>
      <x:c r="I25" s="22"/>
      <x:c r="J25" s="22"/>
      <x:c r="K25" s="22"/>
      <x:c r="L25" s="22"/>
      <x:c r="M25" s="22"/>
      <x:c r="N25" s="22"/>
      <x:c r="O25" s="22"/>
      <x:c r="P25" s="22"/>
      <x:c r="Q25" s="22"/>
      <x:c r="R25" s="22"/>
    </x:row>
    <x:row r="26">
      <x:c r="A26" s="22"/>
      <x:c r="B26" s="22"/>
      <x:c r="C26" s="22"/>
      <x:c r="D26" s="22"/>
      <x:c r="E26" s="22"/>
      <x:c r="F26" s="22"/>
      <x:c r="G26" s="22"/>
      <x:c r="H26" s="22"/>
      <x:c r="I26" s="22"/>
      <x:c r="J26" s="22"/>
      <x:c r="K26" s="22"/>
      <x:c r="L26" s="22"/>
      <x:c r="M26" s="22"/>
      <x:c r="N26" s="22"/>
      <x:c r="O26" s="22"/>
      <x:c r="P26" s="22"/>
      <x:c r="Q26" s="22"/>
      <x:c r="R26" s="22"/>
    </x:row>
    <x:row r="27">
      <x:c r="A27" s="22"/>
      <x:c r="B27" s="22"/>
      <x:c r="C27" s="22"/>
      <x:c r="D27" s="22"/>
      <x:c r="E27" s="22"/>
      <x:c r="F27" s="22"/>
      <x:c r="G27" s="22"/>
      <x:c r="H27" s="22"/>
      <x:c r="I27" s="22"/>
      <x:c r="J27" s="22"/>
      <x:c r="K27" s="22"/>
      <x:c r="L27" s="22"/>
      <x:c r="M27" s="22"/>
      <x:c r="N27" s="22"/>
      <x:c r="O27" s="22"/>
      <x:c r="P27" s="22"/>
      <x:c r="Q27" s="22"/>
      <x:c r="R27" s="22"/>
    </x:row>
    <x:row r="28">
      <x:c r="A28" s="22"/>
      <x:c r="B28" s="22"/>
      <x:c r="C28" s="22"/>
      <x:c r="D28" s="22"/>
      <x:c r="E28" s="22"/>
      <x:c r="F28" s="22"/>
      <x:c r="G28" s="22"/>
      <x:c r="H28" s="22"/>
      <x:c r="I28" s="22"/>
      <x:c r="J28" s="22"/>
      <x:c r="K28" s="22"/>
      <x:c r="L28" s="22"/>
      <x:c r="M28" s="22"/>
      <x:c r="N28" s="22"/>
      <x:c r="O28" s="22"/>
      <x:c r="P28" s="22"/>
      <x:c r="Q28" s="22"/>
      <x:c r="R28" s="22"/>
    </x:row>
    <x:row r="29">
      <x:c r="A29" s="22"/>
      <x:c r="B29" s="22"/>
      <x:c r="C29" s="22"/>
      <x:c r="D29" s="22"/>
      <x:c r="E29" s="22"/>
      <x:c r="F29" s="22"/>
      <x:c r="G29" s="22"/>
      <x:c r="H29" s="22"/>
      <x:c r="I29" s="22"/>
      <x:c r="J29" s="22"/>
      <x:c r="K29" s="22"/>
      <x:c r="L29" s="22"/>
      <x:c r="M29" s="22"/>
      <x:c r="N29" s="22"/>
      <x:c r="O29" s="22"/>
      <x:c r="P29" s="22"/>
      <x:c r="Q29" s="22"/>
      <x:c r="R29" s="22"/>
    </x:row>
    <x:row r="30">
      <x:c r="A30" s="22"/>
      <x:c r="B30" s="22"/>
      <x:c r="C30" s="22"/>
      <x:c r="D30" s="22"/>
      <x:c r="E30" s="22"/>
      <x:c r="F30" s="22"/>
      <x:c r="G30" s="22"/>
      <x:c r="H30" s="22"/>
      <x:c r="I30" s="22"/>
      <x:c r="J30" s="22"/>
      <x:c r="K30" s="22"/>
      <x:c r="L30" s="22"/>
      <x:c r="M30" s="22"/>
      <x:c r="N30" s="22"/>
      <x:c r="O30" s="22"/>
      <x:c r="P30" s="22"/>
      <x:c r="Q30" s="22"/>
      <x:c r="R30" s="22"/>
    </x:row>
    <x:row r="31">
      <x:c r="A31" s="22"/>
      <x:c r="B31" s="22"/>
      <x:c r="C31" s="22"/>
      <x:c r="D31" s="22"/>
      <x:c r="E31" s="22"/>
      <x:c r="F31" s="22"/>
      <x:c r="G31" s="22"/>
      <x:c r="H31" s="22"/>
      <x:c r="I31" s="22"/>
      <x:c r="J31" s="22"/>
      <x:c r="K31" s="22"/>
      <x:c r="L31" s="22"/>
      <x:c r="M31" s="22"/>
      <x:c r="N31" s="22"/>
      <x:c r="O31" s="22"/>
      <x:c r="P31" s="22"/>
      <x:c r="Q31" s="22"/>
      <x:c r="R31" s="22"/>
    </x:row>
    <x:row r="32">
      <x:c r="A32" s="22"/>
      <x:c r="B32" s="22"/>
      <x:c r="C32" s="22"/>
      <x:c r="D32" s="22"/>
      <x:c r="E32" s="22"/>
      <x:c r="F32" s="22"/>
      <x:c r="G32" s="22"/>
      <x:c r="H32" s="22"/>
      <x:c r="I32" s="22"/>
      <x:c r="J32" s="22"/>
      <x:c r="K32" s="22"/>
      <x:c r="L32" s="22"/>
      <x:c r="M32" s="22"/>
      <x:c r="N32" s="22"/>
      <x:c r="O32" s="22"/>
      <x:c r="P32" s="22"/>
      <x:c r="Q32" s="22"/>
      <x:c r="R32" s="22"/>
    </x:row>
    <x:row r="33">
      <x:c r="A33" s="22"/>
      <x:c r="B33" s="22"/>
      <x:c r="C33" s="22"/>
      <x:c r="D33" s="22"/>
      <x:c r="E33" s="22"/>
      <x:c r="F33" s="22"/>
      <x:c r="G33" s="22"/>
      <x:c r="H33" s="22"/>
      <x:c r="I33" s="22"/>
      <x:c r="J33" s="22"/>
      <x:c r="K33" s="22"/>
      <x:c r="L33" s="22"/>
      <x:c r="M33" s="22"/>
      <x:c r="N33" s="22"/>
      <x:c r="O33" s="22"/>
      <x:c r="P33" s="22"/>
      <x:c r="Q33" s="22"/>
      <x:c r="R33" s="22"/>
    </x:row>
    <x:row r="34">
      <x:c r="A34" s="22"/>
      <x:c r="B34" s="22"/>
      <x:c r="C34" s="22"/>
      <x:c r="D34" s="22"/>
      <x:c r="E34" s="22"/>
      <x:c r="F34" s="22"/>
      <x:c r="G34" s="22"/>
      <x:c r="H34" s="22"/>
      <x:c r="I34" s="22"/>
      <x:c r="J34" s="22"/>
      <x:c r="K34" s="22"/>
      <x:c r="L34" s="22"/>
      <x:c r="M34" s="22"/>
      <x:c r="N34" s="22"/>
      <x:c r="O34" s="22"/>
      <x:c r="P34" s="22"/>
      <x:c r="Q34" s="22"/>
      <x:c r="R34" s="22"/>
    </x:row>
  </x:sheetData>
  <x:mergeCells>
    <x:mergeCell ref="A1:R1"/>
    <x:mergeCell ref="A2:R2"/>
  </x:mergeCells>
  <x:dataValidations count="8">
    <x:dataValidation type="list" sqref="C5:C34">
      <x:formula1>"planner,planning_manager,purchasing_practitioner,procurement_leader,scm_transformation_leader,cross_role"</x:formula1>
    </x:dataValidation>
    <x:dataValidation type="list" sqref="G5:G34">
      <x:formula1>"tiger_baseline,track_a_peer,track_b_top100,public_data,combined"</x:formula1>
    </x:dataValidation>
    <x:dataValidation type="list" sqref="I5:I34">
      <x:formula1>"yes,no,unverified"</x:formula1>
    </x:dataValidation>
    <x:dataValidation type="list" sqref="J5:J34">
      <x:formula1>"yes,no,unverified"</x:formula1>
    </x:dataValidation>
    <x:dataValidation type="list" sqref="K5:K34">
      <x:formula1>"yes,no,unverified"</x:formula1>
    </x:dataValidation>
    <x:dataValidation type="list" sqref="L5:L34">
      <x:formula1>"yes,no,unverified"</x:formula1>
    </x:dataValidation>
    <x:dataValidation type="list" sqref="P5:P34">
      <x:formula1>"A,B,reject,ungraded"</x:formula1>
    </x:dataValidation>
    <x:dataValidation type="list" sqref="Q5:Q34">
      <x:formula1>"new,researching,ready_for_review,hold,rejected,selected_for_experiment"</x:formula1>
    </x:dataValidation>
  </x:dataValidations>
  <x:pageMargins left="0.7" right="0.7" top="0.75" bottom="0.75" header="0.3" footer="0.3"/>
  <x:tableParts count="1">
    <x:tablePart xmlns:r="http://schemas.openxmlformats.org/officeDocument/2006/relationships" r:id="R4cfc84275084449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46" hidden="0" customWidth="1"/>
    <x:col min="4" max="4" width="26" hidden="0" customWidth="1"/>
    <x:col min="5" max="5" width="26" hidden="0" customWidth="1"/>
  </x:cols>
  <x:sheetData>
    <x:row r="1">
      <x:c r="A1" s="67" t="str">
        <x:v>field</x:v>
      </x:c>
      <x:c r="B1" s="67" t="str">
        <x:v>research question</x:v>
      </x:c>
      <x:c r="C1" s="67" t="str">
        <x:v>allowed values</x:v>
      </x:c>
      <x:c r="D1" s="67" t="str">
        <x:v>required view</x:v>
      </x:c>
      <x:c r="E1" s="67" t="str">
        <x:v>type</x:v>
      </x:c>
    </x:row>
    <x:row r="2">
      <x:c r="A2" s="22" t="str">
        <x:v>audience_specificity</x:v>
      </x:c>
      <x:c r="B2" s="22" t="str">
        <x:v>Who is explicitly addressed?</x:v>
      </x:c>
      <x:c r="C2" s="22" t="str">
        <x:v>AS1–AS5</x:v>
      </x:c>
      <x:c r="D2" s="22" t="str">
        <x:v>caption/cover</x:v>
      </x:c>
      <x:c r="E2" s="22" t="str">
        <x:v>primary categorical</x:v>
      </x:c>
    </x:row>
    <x:row r="3">
      <x:c r="A3" s="22" t="str">
        <x:v>entry_hook</x:v>
      </x:c>
      <x:c r="B3" s="22" t="str">
        <x:v>What earns the next sentence?</x:v>
      </x:c>
      <x:c r="C3" s="22" t="str">
        <x:v>H1–H9</x:v>
      </x:c>
      <x:c r="D3" s="22" t="str">
        <x:v>first two sentences/cover</x:v>
      </x:c>
      <x:c r="E3" s="22" t="str">
        <x:v>primary categorical</x:v>
      </x:c>
    </x:row>
    <x:row r="4">
      <x:c r="A4" s="22" t="str">
        <x:v>job_promised</x:v>
      </x:c>
      <x:c r="B4" s="22" t="str">
        <x:v>What changes for the reader?</x:v>
      </x:c>
      <x:c r="C4" s="22" t="str">
        <x:v>J0–J8</x:v>
      </x:c>
      <x:c r="D4" s="22" t="str">
        <x:v>full post</x:v>
      </x:c>
      <x:c r="E4" s="22" t="str">
        <x:v>primary categorical</x:v>
      </x:c>
    </x:row>
    <x:row r="5">
      <x:c r="A5" s="22" t="str">
        <x:v>primary_proof</x:v>
      </x:c>
      <x:c r="B5" s="22" t="str">
        <x:v>What supports the main claim?</x:v>
      </x:c>
      <x:c r="C5" s="22" t="str">
        <x:v>P0–P6</x:v>
      </x:c>
      <x:c r="D5" s="22" t="str">
        <x:v>caption + attachment</x:v>
      </x:c>
      <x:c r="E5" s="22" t="str">
        <x:v>primary categorical</x:v>
      </x:c>
    </x:row>
    <x:row r="6">
      <x:c r="A6" s="22" t="str">
        <x:v>primary_artifact</x:v>
      </x:c>
      <x:c r="B6" s="22" t="str">
        <x:v>What reusable or inspectable asset is delivered?</x:v>
      </x:c>
      <x:c r="C6" s="22" t="str">
        <x:v>AR0–AR5</x:v>
      </x:c>
      <x:c r="D6" s="22" t="str">
        <x:v>caption + attachment</x:v>
      </x:c>
      <x:c r="E6" s="22" t="str">
        <x:v>primary categorical</x:v>
      </x:c>
    </x:row>
    <x:row r="7">
      <x:c r="A7" s="22" t="str">
        <x:v>platform_format</x:v>
      </x:c>
      <x:c r="B7" s="22" t="str">
        <x:v>How did LinkedIn deliver it?</x:v>
      </x:c>
      <x:c r="C7" s="22" t="str">
        <x:v>F1–F7</x:v>
      </x:c>
      <x:c r="D7" s="22" t="str">
        <x:v>original LinkedIn post required</x:v>
      </x:c>
      <x:c r="E7" s="22" t="str">
        <x:v>primary categorical</x:v>
      </x:c>
    </x:row>
    <x:row r="8">
      <x:c r="A8" s="22" t="str">
        <x:v>primary_cta</x:v>
      </x:c>
      <x:c r="B8" s="22" t="str">
        <x:v>What explicit action is requested?</x:v>
      </x:c>
      <x:c r="C8" s="22" t="str">
        <x:v>C0–C7</x:v>
      </x:c>
      <x:c r="D8" s="22" t="str">
        <x:v>full caption</x:v>
      </x:c>
      <x:c r="E8" s="22" t="str">
        <x:v>primary categorical</x:v>
      </x:c>
    </x:row>
    <x:row r="9">
      <x:c r="A9" s="22" t="str">
        <x:v>content_class</x:v>
      </x:c>
      <x:c r="B9" s="22" t="str">
        <x:v>What is the organizing spine?</x:v>
      </x:c>
      <x:c r="C9" s="22" t="str">
        <x:v>K1–K8</x:v>
      </x:c>
      <x:c r="D9" s="22" t="str">
        <x:v>full post</x:v>
      </x:c>
      <x:c r="E9" s="22" t="str">
        <x:v>primary categorical</x:v>
      </x:c>
    </x:row>
    <x:row r="10">
      <x:c r="A10" s="22" t="str">
        <x:v>problem_family</x:v>
      </x:c>
      <x:c r="B10" s="22" t="str">
        <x:v>Which work problem supplies the stakes?</x:v>
      </x:c>
      <x:c r="C10" s="22" t="str">
        <x:v>PB1–PB12</x:v>
      </x:c>
      <x:c r="D10" s="22" t="str">
        <x:v>full post</x:v>
      </x:c>
      <x:c r="E10" s="22" t="str">
        <x:v>primary categorical</x:v>
      </x:c>
    </x:row>
    <x:row r="11">
      <x:c r="A11" s="22" t="str">
        <x:v>primary_visual_structure</x:v>
      </x:c>
      <x:c r="B11" s="22" t="str">
        <x:v>What information architecture delivers the promise?</x:v>
      </x:c>
      <x:c r="C11" s="22" t="str">
        <x:v>VS0–VS9</x:v>
      </x:c>
      <x:c r="D11" s="22" t="str">
        <x:v>native attachment</x:v>
      </x:c>
      <x:c r="E11" s="22" t="str">
        <x:v>primary categorical</x:v>
      </x:c>
    </x:row>
    <x:row r="12">
      <x:c r="A12" s="22" t="str">
        <x:v>cover_promise</x:v>
      </x:c>
      <x:c r="B12" s="22" t="str">
        <x:v>What does the first visible frame promise?</x:v>
      </x:c>
      <x:c r="C12" s="22" t="str">
        <x:v>outcome/method/list-map/question/topic/none</x:v>
      </x:c>
      <x:c r="D12" s="22" t="str">
        <x:v>native attachment</x:v>
      </x:c>
      <x:c r="E12" s="22" t="str">
        <x:v>descriptor</x:v>
      </x:c>
    </x:row>
    <x:row r="13">
      <x:c r="A13" s="22" t="str">
        <x:v>information_density</x:v>
      </x:c>
      <x:c r="B13" s="22" t="str">
        <x:v>How much must be processed per frame?</x:v>
      </x:c>
      <x:c r="C13" s="22" t="str">
        <x:v>low/medium/high</x:v>
      </x:c>
      <x:c r="D13" s="22" t="str">
        <x:v>native attachment</x:v>
      </x:c>
      <x:c r="E13" s="22" t="str">
        <x:v>descriptor</x:v>
      </x:c>
    </x:row>
    <x:row r="14">
      <x:c r="A14" s="22" t="str">
        <x:v>reading_path</x:v>
      </x:c>
      <x:c r="B14" s="22" t="str">
        <x:v>How should the eye move?</x:v>
      </x:c>
      <x:c r="C14" s="22" t="str">
        <x:v>single-focus/linear/branching/modular</x:v>
      </x:c>
      <x:c r="D14" s="22" t="str">
        <x:v>native attachment</x:v>
      </x:c>
      <x:c r="E14" s="22" t="str">
        <x:v>descriptor</x:v>
      </x:c>
    </x:row>
    <x:row r="15">
      <x:c r="A15" s="22" t="str">
        <x:v>actionability_depth</x:v>
      </x:c>
      <x:c r="B15" s="22" t="str">
        <x:v>Can the reader read, adapt, copy, or run it?</x:v>
      </x:c>
      <x:c r="C15" s="22" t="str">
        <x:v>read/adapt/copy/run</x:v>
      </x:c>
      <x:c r="D15" s="22" t="str">
        <x:v>full post</x:v>
      </x:c>
      <x:c r="E15" s="22" t="str">
        <x:v>descriptor</x:v>
      </x:c>
    </x:row>
    <x:row r="16">
      <x:c r="A16" s="22" t="str">
        <x:v>stop_scroll_device</x:v>
      </x:c>
      <x:c r="B16" s="22" t="str">
        <x:v>What visual device creates interruption?</x:v>
      </x:c>
      <x:c r="C16" s="22" t="str">
        <x:v>number/contrast/complete-system/object/human/other/none</x:v>
      </x:c>
      <x:c r="D16" s="22" t="str">
        <x:v>native attachment</x:v>
      </x:c>
      <x:c r="E16" s="22" t="str">
        <x:v>descriptor</x:v>
      </x:c>
    </x:row>
    <x:row r="17">
      <x:c r="A17" s="22" t="str">
        <x:v>OC_INPUTS</x:v>
      </x:c>
      <x:c r="B17" s="22" t="str">
        <x:v>Are required inputs explicit?</x:v>
      </x:c>
      <x:c r="C17" s="22" t="str">
        <x:v>yes/no/NA</x:v>
      </x:c>
      <x:c r="D17" s="22" t="str">
        <x:v>full post</x:v>
      </x:c>
      <x:c r="E17" s="22" t="str">
        <x:v>binary module</x:v>
      </x:c>
    </x:row>
    <x:row r="18">
      <x:c r="A18" s="22" t="str">
        <x:v>OC_STEPS</x:v>
      </x:c>
      <x:c r="B18" s="22" t="str">
        <x:v>Are operating steps explicit?</x:v>
      </x:c>
      <x:c r="C18" s="22" t="str">
        <x:v>yes/no/NA</x:v>
      </x:c>
      <x:c r="D18" s="22" t="str">
        <x:v>full post</x:v>
      </x:c>
      <x:c r="E18" s="22" t="str">
        <x:v>binary module</x:v>
      </x:c>
    </x:row>
    <x:row r="19">
      <x:c r="A19" s="22" t="str">
        <x:v>OC_OUTPUT</x:v>
      </x:c>
      <x:c r="B19" s="22" t="str">
        <x:v>Is the output explicit?</x:v>
      </x:c>
      <x:c r="C19" s="22" t="str">
        <x:v>yes/no/NA</x:v>
      </x:c>
      <x:c r="D19" s="22" t="str">
        <x:v>full post</x:v>
      </x:c>
      <x:c r="E19" s="22" t="str">
        <x:v>binary module</x:v>
      </x:c>
    </x:row>
    <x:row r="20">
      <x:c r="A20" s="22" t="str">
        <x:v>OC_VALIDATION</x:v>
      </x:c>
      <x:c r="B20" s="22" t="str">
        <x:v>Is a check or failure condition supplied?</x:v>
      </x:c>
      <x:c r="C20" s="22" t="str">
        <x:v>yes/no/NA</x:v>
      </x:c>
      <x:c r="D20" s="22" t="str">
        <x:v>full post</x:v>
      </x:c>
      <x:c r="E20" s="22" t="str">
        <x:v>binary module</x:v>
      </x:c>
    </x:row>
    <x:row r="21">
      <x:c r="A21" s="22" t="str">
        <x:v>DD_NEWS</x:v>
      </x:c>
      <x:c r="B21" s="22" t="str">
        <x:v>Does response depend on timeliness/news?</x:v>
      </x:c>
      <x:c r="C21" s="22" t="str">
        <x:v>yes/no</x:v>
      </x:c>
      <x:c r="D21" s="22" t="str">
        <x:v>full post</x:v>
      </x:c>
      <x:c r="E21" s="22" t="str">
        <x:v>dependency flag</x:v>
      </x:c>
    </x:row>
    <x:row r="22">
      <x:c r="A22" s="22" t="str">
        <x:v>DD_PROMOTION</x:v>
      </x:c>
      <x:c r="B22" s="22" t="str">
        <x:v>Does response depend on an offer/launch/giveaway?</x:v>
      </x:c>
      <x:c r="C22" s="22" t="str">
        <x:v>yes/no</x:v>
      </x:c>
      <x:c r="D22" s="22" t="str">
        <x:v>full post</x:v>
      </x:c>
      <x:c r="E22" s="22" t="str">
        <x:v>dependency flag</x:v>
      </x:c>
    </x:row>
    <x:row r="23">
      <x:c r="A23" s="22" t="str">
        <x:v>DD_PERSONAL_AUTHORITY</x:v>
      </x:c>
      <x:c r="B23" s="22" t="str">
        <x:v>Does response depend on identity/status/milestone?</x:v>
      </x:c>
      <x:c r="C23" s="22" t="str">
        <x:v>yes/no</x:v>
      </x:c>
      <x:c r="D23" s="22" t="str">
        <x:v>full post</x:v>
      </x:c>
      <x:c r="E23" s="22" t="str">
        <x:v>dependency flag</x:v>
      </x:c>
    </x:row>
    <x:row r="24">
      <x:c r="A24" s="22" t="str">
        <x:v>DD_COMMENT_GATE</x:v>
      </x:c>
      <x:c r="B24" s="22" t="str">
        <x:v>Must the reader comment to receive value?</x:v>
      </x:c>
      <x:c r="C24" s="22" t="str">
        <x:v>yes/no</x:v>
      </x:c>
      <x:c r="D24" s="22" t="str">
        <x:v>full post</x:v>
      </x:c>
      <x:c r="E24" s="22" t="str">
        <x:v>dependency flag</x:v>
      </x:c>
    </x:row>
    <x:row r="25">
      <x:c r="A25" s="22" t="str">
        <x:v>DD_EVERGREEN</x:v>
      </x:c>
      <x:c r="B25" s="22" t="str">
        <x:v>Is central value independent of the four dependencies?</x:v>
      </x:c>
      <x:c r="C25" s="22" t="str">
        <x:v>yes/no</x:v>
      </x:c>
      <x:c r="D25" s="22" t="str">
        <x:v>full post</x:v>
      </x:c>
      <x:c r="E25" s="22" t="str">
        <x:v>dependency flag</x:v>
      </x:c>
    </x:row>
  </x:sheetData>
  <x:pageMargins left="0.7" right="0.7" top="0.75" bottom="0.75" header="0.3" footer="0.3"/>
  <x:tableParts count="1">
    <x:tablePart xmlns:r="http://schemas.openxmlformats.org/officeDocument/2006/relationships" r:id="Rc0385f0c66d2470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34" hidden="0" customWidth="1"/>
    <x:col min="4" max="4" width="26" hidden="0" customWidth="1"/>
    <x:col min="5" max="5" width="26"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58" hidden="0" customWidth="1"/>
  </x:cols>
  <x:sheetData>
    <x:row r="1">
      <x:c r="A1" s="67" t="str">
        <x:v>run_date</x:v>
      </x:c>
      <x:c r="B1" s="67" t="str">
        <x:v>gate</x:v>
      </x:c>
      <x:c r="C1" s="67" t="str">
        <x:v>actor</x:v>
      </x:c>
      <x:c r="D1" s="67" t="str">
        <x:v>run_id</x:v>
      </x:c>
      <x:c r="E1" s="67" t="str">
        <x:v>dataset_id</x:v>
      </x:c>
      <x:c r="F1" s="67" t="str">
        <x:v>input_profiles_or_urls</x:v>
      </x:c>
      <x:c r="G1" s="67" t="str">
        <x:v>output_rows</x:v>
      </x:c>
      <x:c r="H1" s="67" t="str">
        <x:v>cost_usd</x:v>
      </x:c>
      <x:c r="I1" s="67" t="str">
        <x:v>cumulative_cost_usd</x:v>
      </x:c>
      <x:c r="J1" s="67" t="str">
        <x:v>status</x:v>
      </x:c>
      <x:c r="K1" s="67" t="str">
        <x:v>schema_version</x:v>
      </x:c>
      <x:c r="L1" s="67" t="str">
        <x:v>checkpoint_note</x:v>
      </x:c>
    </x:row>
    <x:row r="2">
      <x:c r="A2" s="60" t="n">
        <x:v>46231</x:v>
      </x:c>
      <x:c r="B2" t="str">
        <x:v>1_canary</x:v>
      </x:c>
      <x:c r="C2" t="str">
        <x:v>harvestapi/linkedin-profile-scraper</x:v>
      </x:c>
      <x:c r="D2" t="str">
        <x:v>uSHJzvq9IHZTfrhNS</x:v>
      </x:c>
      <x:c r="E2" t="str">
        <x:v>NA7hICSgGpoqlxjYI</x:v>
      </x:c>
      <x:c r="F2" t="n">
        <x:v>3</x:v>
      </x:c>
      <x:c r="G2" t="n">
        <x:v>3</x:v>
      </x:c>
      <x:c r="H2" s="9" t="n">
        <x:v>0.012</x:v>
      </x:c>
      <x:c r="I2" s="9" t="n">
        <x:f>IF(H2="","",SUM($H$2:H2))</x:f>
        <x:v>0.012</x:v>
      </x:c>
      <x:c r="J2" t="str">
        <x:v>succeeded</x:v>
      </x:c>
      <x:c r="K2" t="str">
        <x:v>profile_v1</x:v>
      </x:c>
      <x:c r="L2" s="21" t="str">
        <x:v>Identity 3/3; follower fields present; no email search.</x:v>
      </x:c>
    </x:row>
    <x:row r="3">
      <x:c r="A3" s="60" t="n">
        <x:v>46231</x:v>
      </x:c>
      <x:c r="B3" t="str">
        <x:v>1_canary</x:v>
      </x:c>
      <x:c r="C3" t="str">
        <x:v>harvestapi/linkedin-profile-posts</x:v>
      </x:c>
      <x:c r="D3" t="str">
        <x:v>zvZJchtRjqs9KCqcd</x:v>
      </x:c>
      <x:c r="E3" t="str">
        <x:v>DhyZXerVrsMAjTgU0</x:v>
      </x:c>
      <x:c r="F3" t="n">
        <x:v>5</x:v>
      </x:c>
      <x:c r="G3" t="n">
        <x:v>32</x:v>
      </x:c>
      <x:c r="H3" s="9" t="n">
        <x:v>0.06405</x:v>
      </x:c>
      <x:c r="I3" s="9" t="n">
        <x:f>IF(H3="","",SUM($H$2:H3))</x:f>
        <x:v>0.07604999999999999</x:v>
      </x:c>
      <x:c r="J3" t="str">
        <x:v>succeeded</x:v>
      </x:c>
      <x:c r="K3" t="str">
        <x:v>post_v1</x:v>
      </x:c>
      <x:c r="L3" s="21" t="str">
        <x:v>28 unique URLs; 4 duplicate groups / 4 excess rows (12.5%); Gate 1 blocked; canonical URL/activity-ID dedupe required.</x:v>
      </x:c>
    </x:row>
    <x:row r="4">
      <x:c r="A4" s="60"/>
      <x:c r="B4"/>
      <x:c r="C4"/>
      <x:c r="D4"/>
      <x:c r="E4"/>
      <x:c r="F4"/>
      <x:c r="G4"/>
      <x:c r="H4" s="9"/>
      <x:c r="I4" s="9" t="str">
        <x:f>IF(H4="","",SUM($H$2:H4))</x:f>
      </x:c>
      <x:c r="J4"/>
      <x:c r="K4"/>
      <x:c r="L4" s="21"/>
    </x:row>
    <x:row r="5">
      <x:c r="A5" s="60"/>
      <x:c r="B5"/>
      <x:c r="C5"/>
      <x:c r="D5"/>
      <x:c r="E5"/>
      <x:c r="F5"/>
      <x:c r="G5"/>
      <x:c r="H5" s="9"/>
      <x:c r="I5" s="9" t="str">
        <x:f>IF(H5="","",SUM($H$2:H5))</x:f>
      </x:c>
      <x:c r="J5"/>
      <x:c r="K5"/>
      <x:c r="L5" s="21"/>
    </x:row>
    <x:row r="6">
      <x:c r="A6" s="60"/>
      <x:c r="B6"/>
      <x:c r="C6"/>
      <x:c r="D6"/>
      <x:c r="E6"/>
      <x:c r="F6"/>
      <x:c r="G6"/>
      <x:c r="H6" s="9"/>
      <x:c r="I6" s="9" t="str">
        <x:f>IF(H6="","",SUM($H$2:H6))</x:f>
      </x:c>
      <x:c r="J6"/>
      <x:c r="K6"/>
      <x:c r="L6" s="21"/>
    </x:row>
    <x:row r="7">
      <x:c r="A7" s="60"/>
      <x:c r="B7"/>
      <x:c r="C7"/>
      <x:c r="D7"/>
      <x:c r="E7"/>
      <x:c r="F7"/>
      <x:c r="G7"/>
      <x:c r="H7" s="9"/>
      <x:c r="I7" s="9" t="str">
        <x:f>IF(H7="","",SUM($H$2:H7))</x:f>
      </x:c>
      <x:c r="J7"/>
      <x:c r="K7"/>
      <x:c r="L7" s="21"/>
    </x:row>
    <x:row r="8">
      <x:c r="A8" s="60"/>
      <x:c r="B8"/>
      <x:c r="C8"/>
      <x:c r="D8"/>
      <x:c r="E8"/>
      <x:c r="F8"/>
      <x:c r="G8"/>
      <x:c r="H8" s="9"/>
      <x:c r="I8" s="9" t="str">
        <x:f>IF(H8="","",SUM($H$2:H8))</x:f>
      </x:c>
      <x:c r="J8"/>
      <x:c r="K8"/>
      <x:c r="L8" s="21"/>
    </x:row>
    <x:row r="9">
      <x:c r="A9" s="60"/>
      <x:c r="B9"/>
      <x:c r="C9"/>
      <x:c r="D9"/>
      <x:c r="E9"/>
      <x:c r="F9"/>
      <x:c r="G9"/>
      <x:c r="H9" s="9"/>
      <x:c r="I9" s="9" t="str">
        <x:f>IF(H9="","",SUM($H$2:H9))</x:f>
      </x:c>
      <x:c r="J9"/>
      <x:c r="K9"/>
      <x:c r="L9" s="21"/>
    </x:row>
    <x:row r="10">
      <x:c r="A10" s="60"/>
      <x:c r="B10"/>
      <x:c r="C10"/>
      <x:c r="D10"/>
      <x:c r="E10"/>
      <x:c r="F10"/>
      <x:c r="G10"/>
      <x:c r="H10" s="9"/>
      <x:c r="I10" s="9" t="str">
        <x:f>IF(H10="","",SUM($H$2:H10))</x:f>
      </x:c>
      <x:c r="J10"/>
      <x:c r="K10"/>
      <x:c r="L10" s="21"/>
    </x:row>
    <x:row r="11">
      <x:c r="A11" s="60"/>
      <x:c r="B11"/>
      <x:c r="C11"/>
      <x:c r="D11"/>
      <x:c r="E11"/>
      <x:c r="F11"/>
      <x:c r="G11"/>
      <x:c r="H11" s="9"/>
      <x:c r="I11" s="9" t="str">
        <x:f>IF(H11="","",SUM($H$2:H11))</x:f>
      </x:c>
      <x:c r="J11"/>
      <x:c r="K11"/>
      <x:c r="L11" s="21"/>
    </x:row>
    <x:row r="12">
      <x:c r="A12" s="60"/>
      <x:c r="B12"/>
      <x:c r="C12"/>
      <x:c r="D12"/>
      <x:c r="E12"/>
      <x:c r="F12"/>
      <x:c r="G12"/>
      <x:c r="H12" s="9"/>
      <x:c r="I12" s="9" t="str">
        <x:f>IF(H12="","",SUM($H$2:H12))</x:f>
      </x:c>
      <x:c r="J12"/>
      <x:c r="K12"/>
      <x:c r="L12" s="21"/>
    </x:row>
    <x:row r="13">
      <x:c r="A13" s="60"/>
      <x:c r="B13"/>
      <x:c r="C13"/>
      <x:c r="D13"/>
      <x:c r="E13"/>
      <x:c r="F13"/>
      <x:c r="G13"/>
      <x:c r="H13" s="9"/>
      <x:c r="I13" s="9" t="str">
        <x:f>IF(H13="","",SUM($H$2:H13))</x:f>
      </x:c>
      <x:c r="J13"/>
      <x:c r="K13"/>
      <x:c r="L13" s="21"/>
    </x:row>
    <x:row r="14">
      <x:c r="A14" s="60"/>
      <x:c r="B14"/>
      <x:c r="C14"/>
      <x:c r="D14"/>
      <x:c r="E14"/>
      <x:c r="F14"/>
      <x:c r="G14"/>
      <x:c r="H14" s="9"/>
      <x:c r="I14" s="9" t="str">
        <x:f>IF(H14="","",SUM($H$2:H14))</x:f>
      </x:c>
      <x:c r="J14"/>
      <x:c r="K14"/>
      <x:c r="L14" s="21"/>
    </x:row>
    <x:row r="15">
      <x:c r="A15" s="60"/>
      <x:c r="B15"/>
      <x:c r="C15"/>
      <x:c r="D15"/>
      <x:c r="E15"/>
      <x:c r="F15"/>
      <x:c r="G15"/>
      <x:c r="H15" s="9"/>
      <x:c r="I15" s="9" t="str">
        <x:f>IF(H15="","",SUM($H$2:H15))</x:f>
      </x:c>
      <x:c r="J15"/>
      <x:c r="K15"/>
      <x:c r="L15" s="21"/>
    </x:row>
    <x:row r="16">
      <x:c r="A16" s="60"/>
      <x:c r="B16"/>
      <x:c r="C16"/>
      <x:c r="D16"/>
      <x:c r="E16"/>
      <x:c r="F16"/>
      <x:c r="G16"/>
      <x:c r="H16" s="9"/>
      <x:c r="I16" s="9" t="str">
        <x:f>IF(H16="","",SUM($H$2:H16))</x:f>
      </x:c>
      <x:c r="J16"/>
      <x:c r="K16"/>
      <x:c r="L16" s="21"/>
    </x:row>
    <x:row r="17">
      <x:c r="A17" s="60"/>
      <x:c r="B17"/>
      <x:c r="C17"/>
      <x:c r="D17"/>
      <x:c r="E17"/>
      <x:c r="F17"/>
      <x:c r="G17"/>
      <x:c r="H17" s="9"/>
      <x:c r="I17" s="9" t="str">
        <x:f>IF(H17="","",SUM($H$2:H17))</x:f>
      </x:c>
      <x:c r="J17"/>
      <x:c r="K17"/>
      <x:c r="L17" s="21"/>
    </x:row>
    <x:row r="18">
      <x:c r="A18" s="60"/>
      <x:c r="B18"/>
      <x:c r="C18"/>
      <x:c r="D18"/>
      <x:c r="E18"/>
      <x:c r="F18"/>
      <x:c r="G18"/>
      <x:c r="H18" s="9"/>
      <x:c r="I18" s="9" t="str">
        <x:f>IF(H18="","",SUM($H$2:H18))</x:f>
      </x:c>
      <x:c r="J18"/>
      <x:c r="K18"/>
      <x:c r="L18" s="21"/>
    </x:row>
    <x:row r="19">
      <x:c r="A19" s="60"/>
      <x:c r="B19"/>
      <x:c r="C19"/>
      <x:c r="D19"/>
      <x:c r="E19"/>
      <x:c r="F19"/>
      <x:c r="G19"/>
      <x:c r="H19" s="9"/>
      <x:c r="I19" s="9" t="str">
        <x:f>IF(H19="","",SUM($H$2:H19))</x:f>
      </x:c>
      <x:c r="J19"/>
      <x:c r="K19"/>
      <x:c r="L19" s="21"/>
    </x:row>
    <x:row r="20">
      <x:c r="A20" s="60"/>
      <x:c r="B20"/>
      <x:c r="C20"/>
      <x:c r="D20"/>
      <x:c r="E20"/>
      <x:c r="F20"/>
      <x:c r="G20"/>
      <x:c r="H20" s="9"/>
      <x:c r="I20" s="9" t="str">
        <x:f>IF(H20="","",SUM($H$2:H20))</x:f>
      </x:c>
      <x:c r="J20"/>
      <x:c r="K20"/>
      <x:c r="L20" s="21"/>
    </x:row>
    <x:row r="21">
      <x:c r="A21" s="60"/>
      <x:c r="B21"/>
      <x:c r="C21"/>
      <x:c r="D21"/>
      <x:c r="E21"/>
      <x:c r="F21"/>
      <x:c r="G21"/>
      <x:c r="H21" s="9"/>
      <x:c r="I21" s="9" t="str">
        <x:f>IF(H21="","",SUM($H$2:H21))</x:f>
      </x:c>
      <x:c r="J21"/>
      <x:c r="K21"/>
      <x:c r="L21" s="21"/>
    </x:row>
    <x:row r="22">
      <x:c r="A22" s="60"/>
      <x:c r="B22"/>
      <x:c r="C22"/>
      <x:c r="D22"/>
      <x:c r="E22"/>
      <x:c r="F22"/>
      <x:c r="G22"/>
      <x:c r="H22" s="9"/>
      <x:c r="I22" s="9" t="str">
        <x:f>IF(H22="","",SUM($H$2:H22))</x:f>
      </x:c>
      <x:c r="J22"/>
      <x:c r="K22"/>
      <x:c r="L22" s="21"/>
    </x:row>
    <x:row r="23">
      <x:c r="A23" s="60"/>
      <x:c r="B23"/>
      <x:c r="C23"/>
      <x:c r="D23"/>
      <x:c r="E23"/>
      <x:c r="F23"/>
      <x:c r="G23"/>
      <x:c r="H23" s="9"/>
      <x:c r="I23" s="9" t="str">
        <x:f>IF(H23="","",SUM($H$2:H23))</x:f>
      </x:c>
      <x:c r="J23"/>
      <x:c r="K23"/>
      <x:c r="L23" s="21"/>
    </x:row>
    <x:row r="24">
      <x:c r="A24" s="60"/>
      <x:c r="B24"/>
      <x:c r="C24"/>
      <x:c r="D24"/>
      <x:c r="E24"/>
      <x:c r="F24"/>
      <x:c r="G24"/>
      <x:c r="H24" s="9"/>
      <x:c r="I24" s="9" t="str">
        <x:f>IF(H24="","",SUM($H$2:H24))</x:f>
      </x:c>
      <x:c r="J24"/>
      <x:c r="K24"/>
      <x:c r="L24" s="21"/>
    </x:row>
    <x:row r="25">
      <x:c r="A25" s="60"/>
      <x:c r="B25"/>
      <x:c r="C25"/>
      <x:c r="D25"/>
      <x:c r="E25"/>
      <x:c r="F25"/>
      <x:c r="G25"/>
      <x:c r="H25" s="9"/>
      <x:c r="I25" s="9" t="str">
        <x:f>IF(H25="","",SUM($H$2:H25))</x:f>
      </x:c>
      <x:c r="J25"/>
      <x:c r="K25"/>
      <x:c r="L25" s="21"/>
    </x:row>
    <x:row r="26">
      <x:c r="A26" s="60"/>
      <x:c r="B26"/>
      <x:c r="C26"/>
      <x:c r="D26"/>
      <x:c r="E26"/>
      <x:c r="F26"/>
      <x:c r="G26"/>
      <x:c r="H26" s="9"/>
      <x:c r="I26" s="9" t="str">
        <x:f>IF(H26="","",SUM($H$2:H26))</x:f>
      </x:c>
      <x:c r="J26"/>
      <x:c r="K26"/>
      <x:c r="L26" s="21"/>
    </x:row>
    <x:row r="27">
      <x:c r="A27" s="60"/>
      <x:c r="B27"/>
      <x:c r="C27"/>
      <x:c r="D27"/>
      <x:c r="E27"/>
      <x:c r="F27"/>
      <x:c r="G27"/>
      <x:c r="H27" s="9"/>
      <x:c r="I27" s="9" t="str">
        <x:f>IF(H27="","",SUM($H$2:H27))</x:f>
      </x:c>
      <x:c r="J27"/>
      <x:c r="K27"/>
      <x:c r="L27" s="21"/>
    </x:row>
    <x:row r="28">
      <x:c r="A28" s="60"/>
      <x:c r="B28"/>
      <x:c r="C28"/>
      <x:c r="D28"/>
      <x:c r="E28"/>
      <x:c r="F28"/>
      <x:c r="G28"/>
      <x:c r="H28" s="9"/>
      <x:c r="I28" s="9" t="str">
        <x:f>IF(H28="","",SUM($H$2:H28))</x:f>
      </x:c>
      <x:c r="J28"/>
      <x:c r="K28"/>
      <x:c r="L28" s="21"/>
    </x:row>
    <x:row r="29">
      <x:c r="A29" s="60"/>
      <x:c r="B29"/>
      <x:c r="C29"/>
      <x:c r="D29"/>
      <x:c r="E29"/>
      <x:c r="F29"/>
      <x:c r="G29"/>
      <x:c r="H29" s="9"/>
      <x:c r="I29" s="9" t="str">
        <x:f>IF(H29="","",SUM($H$2:H29))</x:f>
      </x:c>
      <x:c r="J29"/>
      <x:c r="K29"/>
      <x:c r="L29" s="21"/>
    </x:row>
    <x:row r="30">
      <x:c r="A30" s="60"/>
      <x:c r="B30"/>
      <x:c r="C30"/>
      <x:c r="D30"/>
      <x:c r="E30"/>
      <x:c r="F30"/>
      <x:c r="G30"/>
      <x:c r="H30" s="9"/>
      <x:c r="I30" s="9" t="str">
        <x:f>IF(H30="","",SUM($H$2:H30))</x:f>
      </x:c>
      <x:c r="J30"/>
      <x:c r="K30"/>
      <x:c r="L30" s="21"/>
    </x:row>
    <x:row r="31">
      <x:c r="A31" s="60"/>
      <x:c r="B31"/>
      <x:c r="C31"/>
      <x:c r="D31"/>
      <x:c r="E31"/>
      <x:c r="F31"/>
      <x:c r="G31"/>
      <x:c r="H31" s="9"/>
      <x:c r="I31" s="9" t="str">
        <x:f>IF(H31="","",SUM($H$2:H31))</x:f>
      </x:c>
      <x:c r="J31"/>
      <x:c r="K31"/>
      <x:c r="L31" s="21"/>
    </x:row>
  </x:sheetData>
  <x:dataValidations count="2">
    <x:dataValidation type="list" sqref="B2:B31">
      <x:formula1>"1_canary,2_track_a,3_track_b,fallback"</x:formula1>
    </x:dataValidation>
    <x:dataValidation type="list" sqref="J2:J31">
      <x:formula1>"planned,approved,running,succeeded,failed,aborted"</x:formula1>
    </x:dataValidation>
  </x:dataValidations>
  <x:pageMargins left="0.7" right="0.7" top="0.75" bottom="0.75" header="0.3" footer="0.3"/>
  <x:tableParts count="1">
    <x:tablePart xmlns:r="http://schemas.openxmlformats.org/officeDocument/2006/relationships" r:id="Rce7b952bfb234c68"/>
  </x:tableParts>
</x:worksheet>
</file>